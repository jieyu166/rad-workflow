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每日工作紀錄" sheetId="1" r:id="rId4"/>
    <sheet state="visible" name="模態代碼表" sheetId="2" r:id="rId5"/>
    <sheet state="visible" name="週摘要" sheetId="3" r:id="rId6"/>
    <sheet state="visible" name="Google Form 設計" sheetId="4" r:id="rId7"/>
    <sheet state="visible" name="排程規則" sheetId="5" r:id="rId8"/>
  </sheets>
  <definedNames/>
  <calcPr/>
  <extLst>
    <ext uri="GoogleSheetsCustomDataVersion2">
      <go:sheetsCustomData xmlns:go="http://customooxmlschemas.google.com/" r:id="rId9" roundtripDataChecksum="+vSERlMhglfR5RfHySUAILXUCk2sKGo/DyAbQsHWRJ8="/>
    </ext>
  </extLst>
</workbook>
</file>

<file path=xl/sharedStrings.xml><?xml version="1.0" encoding="utf-8"?>
<sst xmlns="http://schemas.openxmlformats.org/spreadsheetml/2006/main" count="441" uniqueCount="216">
  <si>
    <t>日期</t>
  </si>
  <si>
    <t>星期</t>
  </si>
  <si>
    <t>時間戳記</t>
  </si>
  <si>
    <t>模態</t>
  </si>
  <si>
    <t>子類別</t>
  </si>
  <si>
    <t>難度</t>
  </si>
  <si>
    <t>完成數量</t>
  </si>
  <si>
    <r>
      <rPr>
        <rFont val="Noto Sans CJK SC"/>
        <b/>
        <color rgb="FFFFFFFF"/>
        <sz val="11.0"/>
      </rPr>
      <t>花費時間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分</t>
    </r>
    <r>
      <rPr>
        <rFont val="Arial"/>
        <b/>
        <color rgb="FFFFFFFF"/>
        <sz val="11.0"/>
      </rPr>
      <t>)</t>
    </r>
  </si>
  <si>
    <r>
      <rPr>
        <rFont val="Noto Sans CJK SC"/>
        <b/>
        <color rgb="FFFFFFFF"/>
        <sz val="11.0"/>
      </rPr>
      <t>速率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份</t>
    </r>
    <r>
      <rPr>
        <rFont val="Arial"/>
        <b/>
        <color rgb="FFFFFFFF"/>
        <sz val="11.0"/>
      </rPr>
      <t>/hr)</t>
    </r>
  </si>
  <si>
    <t>備註</t>
  </si>
  <si>
    <t>2025/7/14</t>
  </si>
  <si>
    <t>一</t>
  </si>
  <si>
    <t>09:30</t>
  </si>
  <si>
    <r>
      <rPr>
        <rFont val="Arial"/>
        <i/>
        <color rgb="FF808080"/>
        <sz val="9.0"/>
      </rPr>
      <t>X</t>
    </r>
    <r>
      <rPr>
        <rFont val="Noto Sans CJK SC"/>
        <i/>
        <color rgb="FF808080"/>
        <sz val="9.0"/>
      </rPr>
      <t>光</t>
    </r>
  </si>
  <si>
    <t>普通</t>
  </si>
  <si>
    <t>一般</t>
  </si>
  <si>
    <t>23</t>
  </si>
  <si>
    <t>25</t>
  </si>
  <si>
    <t>第一批</t>
  </si>
  <si>
    <t>ct</t>
  </si>
  <si>
    <t>Chest/Abd</t>
  </si>
  <si>
    <t>xr</t>
  </si>
  <si>
    <t>中等</t>
  </si>
  <si>
    <t>急打</t>
  </si>
  <si>
    <t>bmd</t>
  </si>
  <si>
    <t>BMD</t>
  </si>
  <si>
    <t>二</t>
  </si>
  <si>
    <t>mm</t>
  </si>
  <si>
    <t>Mammo</t>
  </si>
  <si>
    <t>us</t>
  </si>
  <si>
    <t>困難</t>
  </si>
  <si>
    <t>三</t>
  </si>
  <si>
    <t>other</t>
  </si>
  <si>
    <t>雜務</t>
  </si>
  <si>
    <t>值班</t>
  </si>
  <si>
    <t>mr</t>
  </si>
  <si>
    <t>MR</t>
  </si>
  <si>
    <t>Neck/CTA</t>
  </si>
  <si>
    <t>Brain</t>
  </si>
  <si>
    <t>四</t>
  </si>
  <si>
    <t>臨床</t>
  </si>
  <si>
    <t>五</t>
  </si>
  <si>
    <t>-</t>
  </si>
  <si>
    <t>六</t>
  </si>
  <si>
    <t>代碼</t>
  </si>
  <si>
    <t>預估速率</t>
  </si>
  <si>
    <t>單位</t>
  </si>
  <si>
    <r>
      <rPr>
        <rFont val="Arial"/>
        <color theme="1"/>
        <sz val="10.0"/>
      </rPr>
      <t>X</t>
    </r>
    <r>
      <rPr>
        <rFont val="Noto Sans CJK SC"/>
        <color theme="1"/>
        <sz val="10.0"/>
      </rPr>
      <t>光</t>
    </r>
  </si>
  <si>
    <r>
      <rPr>
        <rFont val="Noto Sans CJK SC"/>
        <color theme="1"/>
        <sz val="10.0"/>
      </rPr>
      <t xml:space="preserve">普通 </t>
    </r>
    <r>
      <rPr>
        <rFont val="Arial"/>
        <color theme="1"/>
        <sz val="10.0"/>
      </rPr>
      <t>X</t>
    </r>
    <r>
      <rPr>
        <rFont val="Noto Sans CJK SC"/>
        <color theme="1"/>
        <sz val="10.0"/>
      </rPr>
      <t>光</t>
    </r>
  </si>
  <si>
    <t>40</t>
  </si>
  <si>
    <r>
      <rPr>
        <rFont val="Noto Sans CJK SC"/>
        <color theme="1"/>
        <sz val="10.0"/>
      </rPr>
      <t>份</t>
    </r>
    <r>
      <rPr>
        <rFont val="Arial"/>
        <color theme="1"/>
        <sz val="10.0"/>
      </rPr>
      <t>/hr</t>
    </r>
  </si>
  <si>
    <t>常規門診片</t>
  </si>
  <si>
    <r>
      <rPr>
        <rFont val="Arial"/>
        <color theme="1"/>
        <sz val="10.0"/>
      </rPr>
      <t>X</t>
    </r>
    <r>
      <rPr>
        <rFont val="Noto Sans CJK SC"/>
        <color theme="1"/>
        <sz val="10.0"/>
      </rPr>
      <t>光</t>
    </r>
  </si>
  <si>
    <r>
      <rPr>
        <rFont val="Noto Sans CJK SC"/>
        <color theme="1"/>
        <sz val="10.0"/>
      </rPr>
      <t xml:space="preserve">急打 </t>
    </r>
    <r>
      <rPr>
        <rFont val="Arial"/>
        <color theme="1"/>
        <sz val="10.0"/>
      </rPr>
      <t>X</t>
    </r>
    <r>
      <rPr>
        <rFont val="Noto Sans CJK SC"/>
        <color theme="1"/>
        <sz val="10.0"/>
      </rPr>
      <t>光</t>
    </r>
  </si>
  <si>
    <t>xr-u</t>
  </si>
  <si>
    <r>
      <rPr>
        <rFont val="Noto Sans CJK SC"/>
        <color theme="1"/>
        <sz val="10.0"/>
      </rPr>
      <t>份</t>
    </r>
    <r>
      <rPr>
        <rFont val="Arial"/>
        <color theme="1"/>
        <sz val="10.0"/>
      </rPr>
      <t>/hr</t>
    </r>
  </si>
  <si>
    <r>
      <rPr>
        <rFont val="Noto Sans CJK SC"/>
        <color theme="1"/>
        <sz val="10.0"/>
      </rPr>
      <t>急診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急打</t>
    </r>
  </si>
  <si>
    <r>
      <rPr>
        <rFont val="Arial"/>
        <color theme="1"/>
        <sz val="10.0"/>
      </rPr>
      <t>X</t>
    </r>
    <r>
      <rPr>
        <rFont val="Noto Sans CJK SC"/>
        <color theme="1"/>
        <sz val="10.0"/>
      </rPr>
      <t>光</t>
    </r>
  </si>
  <si>
    <t>中等難度</t>
  </si>
  <si>
    <t>xr-m</t>
  </si>
  <si>
    <t>30</t>
  </si>
  <si>
    <r>
      <rPr>
        <rFont val="Noto Sans CJK SC"/>
        <color theme="1"/>
        <sz val="10.0"/>
      </rPr>
      <t>份</t>
    </r>
    <r>
      <rPr>
        <rFont val="Arial"/>
        <color theme="1"/>
        <sz val="10.0"/>
      </rPr>
      <t>/hr</t>
    </r>
  </si>
  <si>
    <t>需仔細判讀</t>
  </si>
  <si>
    <r>
      <rPr>
        <rFont val="Arial"/>
        <color theme="1"/>
        <sz val="10.0"/>
      </rPr>
      <t>X</t>
    </r>
    <r>
      <rPr>
        <rFont val="Noto Sans CJK SC"/>
        <color theme="1"/>
        <sz val="10.0"/>
      </rPr>
      <t>光</t>
    </r>
  </si>
  <si>
    <r>
      <rPr>
        <rFont val="Noto Sans CJK SC"/>
        <color theme="1"/>
        <sz val="10.0"/>
      </rPr>
      <t xml:space="preserve">困難 </t>
    </r>
    <r>
      <rPr>
        <rFont val="Arial"/>
        <color theme="1"/>
        <sz val="10.0"/>
      </rPr>
      <t>X</t>
    </r>
    <r>
      <rPr>
        <rFont val="Noto Sans CJK SC"/>
        <color theme="1"/>
        <sz val="10.0"/>
      </rPr>
      <t>光</t>
    </r>
  </si>
  <si>
    <t>xr-h</t>
  </si>
  <si>
    <t>20</t>
  </si>
  <si>
    <r>
      <rPr>
        <rFont val="Noto Sans CJK SC"/>
        <color theme="1"/>
        <sz val="10.0"/>
      </rPr>
      <t>份</t>
    </r>
    <r>
      <rPr>
        <rFont val="Arial"/>
        <color theme="1"/>
        <sz val="10.0"/>
      </rPr>
      <t>/hr</t>
    </r>
  </si>
  <si>
    <t>複雜病例</t>
  </si>
  <si>
    <t>CT</t>
  </si>
  <si>
    <t>Chest/Abdomen CT</t>
  </si>
  <si>
    <t>3-4</t>
  </si>
  <si>
    <r>
      <rPr>
        <rFont val="Noto Sans CJK SC"/>
        <color theme="1"/>
        <sz val="10.0"/>
      </rPr>
      <t>份</t>
    </r>
    <r>
      <rPr>
        <rFont val="Arial"/>
        <color theme="1"/>
        <sz val="10.0"/>
      </rPr>
      <t>/hr</t>
    </r>
  </si>
  <si>
    <r>
      <rPr>
        <rFont val="Arial"/>
        <color theme="1"/>
        <sz val="10.0"/>
      </rPr>
      <t>15-20</t>
    </r>
    <r>
      <rPr>
        <rFont val="Noto Sans CJK SC"/>
        <color theme="1"/>
        <sz val="10.0"/>
      </rPr>
      <t>分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份</t>
    </r>
  </si>
  <si>
    <t>Brain CT (non-con)</t>
  </si>
  <si>
    <t>ct-br</t>
  </si>
  <si>
    <t>6-8</t>
  </si>
  <si>
    <r>
      <rPr>
        <rFont val="Noto Sans CJK SC"/>
        <color theme="1"/>
        <sz val="10.0"/>
      </rPr>
      <t>份</t>
    </r>
    <r>
      <rPr>
        <rFont val="Arial"/>
        <color theme="1"/>
        <sz val="10.0"/>
      </rPr>
      <t>/hr</t>
    </r>
  </si>
  <si>
    <r>
      <rPr>
        <rFont val="Arial"/>
        <color theme="1"/>
        <sz val="10.0"/>
      </rPr>
      <t>7-10</t>
    </r>
    <r>
      <rPr>
        <rFont val="Noto Sans CJK SC"/>
        <color theme="1"/>
        <sz val="10.0"/>
      </rPr>
      <t>分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份</t>
    </r>
  </si>
  <si>
    <t>Neck CT / Brain CTA</t>
  </si>
  <si>
    <t>ct-nk</t>
  </si>
  <si>
    <r>
      <rPr>
        <rFont val="Noto Sans CJK SC"/>
        <color theme="1"/>
        <sz val="10.0"/>
      </rPr>
      <t>份</t>
    </r>
    <r>
      <rPr>
        <rFont val="Arial"/>
        <color theme="1"/>
        <sz val="10.0"/>
      </rPr>
      <t>/hr</t>
    </r>
  </si>
  <si>
    <r>
      <rPr>
        <rFont val="Arial"/>
        <color theme="1"/>
        <sz val="10.0"/>
      </rPr>
      <t>15-20</t>
    </r>
    <r>
      <rPr>
        <rFont val="Noto Sans CJK SC"/>
        <color theme="1"/>
        <sz val="10.0"/>
      </rPr>
      <t>分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份</t>
    </r>
  </si>
  <si>
    <t>Brain contrast CT</t>
  </si>
  <si>
    <t>ct-brc</t>
  </si>
  <si>
    <t>3</t>
  </si>
  <si>
    <r>
      <rPr>
        <rFont val="Noto Sans CJK SC"/>
        <color theme="1"/>
        <sz val="10.0"/>
      </rPr>
      <t>份</t>
    </r>
    <r>
      <rPr>
        <rFont val="Arial"/>
        <color theme="1"/>
        <sz val="10.0"/>
      </rPr>
      <t>/hr</t>
    </r>
  </si>
  <si>
    <r>
      <rPr>
        <rFont val="Arial"/>
        <color theme="1"/>
        <sz val="10.0"/>
      </rPr>
      <t>~20</t>
    </r>
    <r>
      <rPr>
        <rFont val="Noto Sans CJK SC"/>
        <color theme="1"/>
        <sz val="10.0"/>
      </rPr>
      <t>分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份</t>
    </r>
  </si>
  <si>
    <t>US</t>
  </si>
  <si>
    <t>一般超音波</t>
  </si>
  <si>
    <t>8-12</t>
  </si>
  <si>
    <r>
      <rPr>
        <rFont val="Noto Sans CJK SC"/>
        <color theme="1"/>
        <sz val="10.0"/>
      </rPr>
      <t>份</t>
    </r>
    <r>
      <rPr>
        <rFont val="Arial"/>
        <color theme="1"/>
        <sz val="10.0"/>
      </rPr>
      <t>/hr</t>
    </r>
  </si>
  <si>
    <r>
      <rPr>
        <rFont val="Arial"/>
        <color theme="1"/>
        <sz val="10.0"/>
      </rPr>
      <t>5-7</t>
    </r>
    <r>
      <rPr>
        <rFont val="Noto Sans CJK SC"/>
        <color theme="1"/>
        <sz val="10.0"/>
      </rPr>
      <t>分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份</t>
    </r>
  </si>
  <si>
    <t>困難超音波</t>
  </si>
  <si>
    <t>us-h</t>
  </si>
  <si>
    <t>3-6</t>
  </si>
  <si>
    <r>
      <rPr>
        <rFont val="Noto Sans CJK SC"/>
        <color theme="1"/>
        <sz val="10.0"/>
      </rPr>
      <t>份</t>
    </r>
    <r>
      <rPr>
        <rFont val="Arial"/>
        <color theme="1"/>
        <sz val="10.0"/>
      </rPr>
      <t>/hr</t>
    </r>
  </si>
  <si>
    <r>
      <rPr>
        <rFont val="Arial"/>
        <color theme="1"/>
        <sz val="10.0"/>
      </rPr>
      <t>10-20</t>
    </r>
    <r>
      <rPr>
        <rFont val="Noto Sans CJK SC"/>
        <color theme="1"/>
        <sz val="10.0"/>
      </rPr>
      <t>分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份</t>
    </r>
  </si>
  <si>
    <t>乳房攝影</t>
  </si>
  <si>
    <t>15-20</t>
  </si>
  <si>
    <r>
      <rPr>
        <rFont val="Noto Sans CJK SC"/>
        <color theme="1"/>
        <sz val="10.0"/>
      </rPr>
      <t>份</t>
    </r>
    <r>
      <rPr>
        <rFont val="Arial"/>
        <color theme="1"/>
        <sz val="10.0"/>
      </rPr>
      <t>/hr</t>
    </r>
  </si>
  <si>
    <r>
      <rPr>
        <rFont val="Arial"/>
        <color theme="1"/>
        <sz val="10.0"/>
      </rPr>
      <t>3-4</t>
    </r>
    <r>
      <rPr>
        <rFont val="Noto Sans CJK SC"/>
        <color theme="1"/>
        <sz val="10.0"/>
      </rPr>
      <t>分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份</t>
    </r>
  </si>
  <si>
    <t>磁振造影</t>
  </si>
  <si>
    <t>2</t>
  </si>
  <si>
    <r>
      <rPr>
        <rFont val="Noto Sans CJK SC"/>
        <color theme="1"/>
        <sz val="10.0"/>
      </rPr>
      <t>份</t>
    </r>
    <r>
      <rPr>
        <rFont val="Arial"/>
        <color theme="1"/>
        <sz val="10.0"/>
      </rPr>
      <t>/hr</t>
    </r>
  </si>
  <si>
    <r>
      <rPr>
        <rFont val="Arial"/>
        <color theme="1"/>
        <sz val="10.0"/>
      </rPr>
      <t>~30</t>
    </r>
    <r>
      <rPr>
        <rFont val="Noto Sans CJK SC"/>
        <color theme="1"/>
        <sz val="10.0"/>
      </rPr>
      <t>分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份</t>
    </r>
  </si>
  <si>
    <t>IVP</t>
  </si>
  <si>
    <t>靜脈腎盂攝影</t>
  </si>
  <si>
    <t>ivp</t>
  </si>
  <si>
    <t>12</t>
  </si>
  <si>
    <r>
      <rPr>
        <rFont val="Noto Sans CJK SC"/>
        <color theme="1"/>
        <sz val="10.0"/>
      </rPr>
      <t>份</t>
    </r>
    <r>
      <rPr>
        <rFont val="Arial"/>
        <color theme="1"/>
        <sz val="10.0"/>
      </rPr>
      <t>/hr</t>
    </r>
  </si>
  <si>
    <r>
      <rPr>
        <rFont val="Arial"/>
        <color theme="1"/>
        <sz val="10.0"/>
      </rPr>
      <t>~5</t>
    </r>
    <r>
      <rPr>
        <rFont val="Noto Sans CJK SC"/>
        <color theme="1"/>
        <sz val="10.0"/>
      </rPr>
      <t>分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份</t>
    </r>
  </si>
  <si>
    <t>骨密度</t>
  </si>
  <si>
    <t>60</t>
  </si>
  <si>
    <r>
      <rPr>
        <rFont val="Noto Sans CJK SC"/>
        <color theme="1"/>
        <sz val="10.0"/>
      </rPr>
      <t>份</t>
    </r>
    <r>
      <rPr>
        <rFont val="Arial"/>
        <color theme="1"/>
        <sz val="10.0"/>
      </rPr>
      <t>/hr</t>
    </r>
  </si>
  <si>
    <r>
      <rPr>
        <rFont val="Arial"/>
        <color theme="1"/>
        <sz val="10.0"/>
      </rPr>
      <t>~1</t>
    </r>
    <r>
      <rPr>
        <rFont val="Noto Sans CJK SC"/>
        <color theme="1"/>
        <sz val="10.0"/>
      </rPr>
      <t>分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份</t>
    </r>
  </si>
  <si>
    <t>其他</t>
  </si>
  <si>
    <t>臨床工作</t>
  </si>
  <si>
    <t>clinic</t>
  </si>
  <si>
    <t>非報告工作</t>
  </si>
  <si>
    <r>
      <rPr>
        <rFont val="Noto Sans CJK SC"/>
        <color theme="1"/>
        <sz val="10.0"/>
      </rPr>
      <t>程式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雜務</t>
    </r>
  </si>
  <si>
    <t>misc</t>
  </si>
  <si>
    <t>讀書</t>
  </si>
  <si>
    <t>study</t>
  </si>
  <si>
    <r>
      <rPr>
        <rFont val="Noto Sans CJK SC"/>
        <color theme="1"/>
        <sz val="10.0"/>
      </rPr>
      <t>每兩天</t>
    </r>
    <r>
      <rPr>
        <rFont val="Arial"/>
        <color theme="1"/>
        <sz val="10.0"/>
      </rPr>
      <t>2hr</t>
    </r>
    <r>
      <rPr>
        <rFont val="Noto Sans CJK SC"/>
        <color theme="1"/>
        <sz val="10.0"/>
      </rPr>
      <t>目標</t>
    </r>
  </si>
  <si>
    <t>放射科工作週報</t>
  </si>
  <si>
    <t>週次：</t>
  </si>
  <si>
    <t>日期範圍：</t>
  </si>
  <si>
    <t>一、數量總表</t>
  </si>
  <si>
    <t>期初剩餘</t>
  </si>
  <si>
    <t>本週新增</t>
  </si>
  <si>
    <t>本週完成</t>
  </si>
  <si>
    <t>期末剩餘</t>
  </si>
  <si>
    <t>週消化率</t>
  </si>
  <si>
    <t>日均完成</t>
  </si>
  <si>
    <t>預估清完天數</t>
  </si>
  <si>
    <r>
      <rPr>
        <rFont val="Arial"/>
        <color theme="1"/>
        <sz val="10.0"/>
      </rPr>
      <t>X</t>
    </r>
    <r>
      <rPr>
        <rFont val="Noto Sans CJK SC"/>
        <color theme="1"/>
        <sz val="10.0"/>
      </rPr>
      <t>光</t>
    </r>
  </si>
  <si>
    <t>合計</t>
  </si>
  <si>
    <t>本週工作天數：</t>
  </si>
  <si>
    <t>實際工作天數</t>
  </si>
  <si>
    <t>二、每日工作明細</t>
  </si>
  <si>
    <r>
      <rPr>
        <rFont val="Noto Sans CJK SC"/>
        <b/>
        <color rgb="FFFFFFFF"/>
        <sz val="11.0"/>
      </rPr>
      <t>有效工時</t>
    </r>
    <r>
      <rPr>
        <rFont val="Arial"/>
        <b/>
        <color rgb="FFFFFFFF"/>
        <sz val="11.0"/>
      </rPr>
      <t>(hr)</t>
    </r>
  </si>
  <si>
    <r>
      <rPr>
        <rFont val="Arial"/>
        <b/>
        <color rgb="FFFFFFFF"/>
        <sz val="11.0"/>
      </rPr>
      <t>X</t>
    </r>
    <r>
      <rPr>
        <rFont val="Noto Sans CJK SC"/>
        <b/>
        <color rgb="FFFFFFFF"/>
        <sz val="11.0"/>
      </rPr>
      <t>光</t>
    </r>
  </si>
  <si>
    <t>總完成</t>
  </si>
  <si>
    <t>非工作時間</t>
  </si>
  <si>
    <t>三、效率分析</t>
  </si>
  <si>
    <t>基準速率</t>
  </si>
  <si>
    <t>實測速率</t>
  </si>
  <si>
    <r>
      <rPr>
        <rFont val="Noto Sans CJK SC"/>
        <b/>
        <color rgb="FFFFFFFF"/>
        <sz val="11.0"/>
      </rPr>
      <t>差異</t>
    </r>
    <r>
      <rPr>
        <rFont val="Arial"/>
        <b/>
        <color rgb="FFFFFFFF"/>
        <sz val="11.0"/>
      </rPr>
      <t>%</t>
    </r>
  </si>
  <si>
    <t>評估</t>
  </si>
  <si>
    <t>四、讀書追蹤</t>
  </si>
  <si>
    <t>時數</t>
  </si>
  <si>
    <t>主題</t>
  </si>
  <si>
    <t>完成狀態</t>
  </si>
  <si>
    <t>五、時間分配概覽</t>
  </si>
  <si>
    <t>報告工時</t>
  </si>
  <si>
    <t>臨床工時</t>
  </si>
  <si>
    <t>交通時間</t>
  </si>
  <si>
    <t>手機時間</t>
  </si>
  <si>
    <r>
      <rPr>
        <rFont val="Noto Sans CJK SC"/>
        <b/>
        <color rgb="FFFFFFFF"/>
        <sz val="11.0"/>
      </rPr>
      <t>休息</t>
    </r>
    <r>
      <rPr>
        <rFont val="Arial"/>
        <b/>
        <color rgb="FFFFFFFF"/>
        <sz val="11.0"/>
      </rPr>
      <t>/</t>
    </r>
    <r>
      <rPr>
        <rFont val="Noto Sans CJK SC"/>
        <b/>
        <color rgb="FFFFFFFF"/>
        <sz val="11.0"/>
      </rPr>
      <t>雜務</t>
    </r>
  </si>
  <si>
    <t>總計</t>
  </si>
  <si>
    <r>
      <rPr>
        <rFont val="Arial"/>
        <b/>
        <color rgb="FF2F5496"/>
        <sz val="14.0"/>
      </rPr>
      <t xml:space="preserve">Google Form </t>
    </r>
    <r>
      <rPr>
        <rFont val="Noto Sans CJK SC"/>
        <b/>
        <color rgb="FF2F5496"/>
        <sz val="14.0"/>
      </rPr>
      <t>欄位設計</t>
    </r>
  </si>
  <si>
    <t>欄位名稱</t>
  </si>
  <si>
    <t>類型</t>
  </si>
  <si>
    <r>
      <rPr>
        <rFont val="Noto Sans CJK SC"/>
        <b/>
        <color rgb="FFFFFFFF"/>
        <sz val="11.0"/>
      </rPr>
      <t>選項</t>
    </r>
    <r>
      <rPr>
        <rFont val="Arial"/>
        <b/>
        <color rgb="FFFFFFFF"/>
        <sz val="11.0"/>
      </rPr>
      <t>/</t>
    </r>
    <r>
      <rPr>
        <rFont val="Noto Sans CJK SC"/>
        <b/>
        <color rgb="FFFFFFFF"/>
        <sz val="11.0"/>
      </rPr>
      <t>說明</t>
    </r>
  </si>
  <si>
    <t>必填</t>
  </si>
  <si>
    <t>下拉選單</t>
  </si>
  <si>
    <r>
      <rPr>
        <rFont val="Arial"/>
        <color theme="1"/>
        <sz val="10.0"/>
      </rPr>
      <t>X</t>
    </r>
    <r>
      <rPr>
        <rFont val="Noto Sans CJK SC"/>
        <color theme="1"/>
        <sz val="10.0"/>
      </rPr>
      <t xml:space="preserve">光 </t>
    </r>
    <r>
      <rPr>
        <rFont val="Arial"/>
        <color theme="1"/>
        <sz val="10.0"/>
      </rPr>
      <t xml:space="preserve">/ CT / US / Mammo / MR / IVP / BMD / </t>
    </r>
    <r>
      <rPr>
        <rFont val="Noto Sans CJK SC"/>
        <color theme="1"/>
        <sz val="10.0"/>
      </rPr>
      <t>其他</t>
    </r>
  </si>
  <si>
    <t>是</t>
  </si>
  <si>
    <r>
      <rPr>
        <rFont val="Noto Sans CJK SC"/>
        <color theme="1"/>
        <sz val="10.0"/>
      </rPr>
      <t>下拉選單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依模態連動</t>
    </r>
    <r>
      <rPr>
        <rFont val="Arial"/>
        <color theme="1"/>
        <sz val="10.0"/>
      </rPr>
      <t>)</t>
    </r>
  </si>
  <si>
    <t>見模態代碼表</t>
  </si>
  <si>
    <t>否</t>
  </si>
  <si>
    <t>單選</t>
  </si>
  <si>
    <r>
      <rPr>
        <rFont val="Noto Sans CJK SC"/>
        <color theme="1"/>
        <sz val="10.0"/>
      </rPr>
      <t xml:space="preserve">簡單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 xml:space="preserve">一般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 xml:space="preserve">中等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>困難</t>
    </r>
  </si>
  <si>
    <r>
      <rPr>
        <rFont val="Noto Sans CJK SC"/>
        <color theme="1"/>
        <sz val="10.0"/>
      </rPr>
      <t>否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預設一般</t>
    </r>
    <r>
      <rPr>
        <rFont val="Arial"/>
        <color theme="1"/>
        <sz val="10.0"/>
      </rPr>
      <t>)</t>
    </r>
  </si>
  <si>
    <t>數字</t>
  </si>
  <si>
    <t>正整數</t>
  </si>
  <si>
    <r>
      <rPr>
        <rFont val="Noto Sans CJK SC"/>
        <color theme="1"/>
        <sz val="10.0"/>
      </rPr>
      <t>花費時間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分鐘</t>
    </r>
    <r>
      <rPr>
        <rFont val="Arial"/>
        <color theme="1"/>
        <sz val="10.0"/>
      </rPr>
      <t>)</t>
    </r>
  </si>
  <si>
    <t>簡答</t>
  </si>
  <si>
    <t>選填，如：值班、急打等</t>
  </si>
  <si>
    <t>使用說明</t>
  </si>
  <si>
    <r>
      <rPr>
        <rFont val="Arial"/>
        <color theme="1"/>
        <sz val="10.0"/>
      </rPr>
      <t xml:space="preserve">1. </t>
    </r>
    <r>
      <rPr>
        <rFont val="Noto Sans CJK SC"/>
        <color theme="1"/>
        <sz val="10.0"/>
      </rPr>
      <t xml:space="preserve">在 </t>
    </r>
    <r>
      <rPr>
        <rFont val="Arial"/>
        <color theme="1"/>
        <sz val="10.0"/>
      </rPr>
      <t xml:space="preserve">Google Forms </t>
    </r>
    <r>
      <rPr>
        <rFont val="Noto Sans CJK SC"/>
        <color theme="1"/>
        <sz val="10.0"/>
      </rPr>
      <t>建立上述欄位</t>
    </r>
  </si>
  <si>
    <r>
      <rPr>
        <rFont val="Arial"/>
        <color theme="1"/>
        <sz val="10.0"/>
      </rPr>
      <t xml:space="preserve">2. </t>
    </r>
    <r>
      <rPr>
        <rFont val="Noto Sans CJK SC"/>
        <color theme="1"/>
        <sz val="10.0"/>
      </rPr>
      <t xml:space="preserve">設定回應目的地為本 </t>
    </r>
    <r>
      <rPr>
        <rFont val="Arial"/>
        <color theme="1"/>
        <sz val="10.0"/>
      </rPr>
      <t xml:space="preserve">Sheet </t>
    </r>
    <r>
      <rPr>
        <rFont val="Noto Sans CJK SC"/>
        <color theme="1"/>
        <sz val="10.0"/>
      </rPr>
      <t>的「每日工作紀錄」分頁</t>
    </r>
  </si>
  <si>
    <r>
      <rPr>
        <rFont val="Arial"/>
        <color theme="1"/>
        <sz val="10.0"/>
      </rPr>
      <t xml:space="preserve">3. </t>
    </r>
    <r>
      <rPr>
        <rFont val="Noto Sans CJK SC"/>
        <color theme="1"/>
        <sz val="10.0"/>
      </rPr>
      <t xml:space="preserve">將 </t>
    </r>
    <r>
      <rPr>
        <rFont val="Arial"/>
        <color theme="1"/>
        <sz val="10.0"/>
      </rPr>
      <t xml:space="preserve">Form </t>
    </r>
    <r>
      <rPr>
        <rFont val="Noto Sans CJK SC"/>
        <color theme="1"/>
        <sz val="10.0"/>
      </rPr>
      <t xml:space="preserve">捷徑加到 </t>
    </r>
    <r>
      <rPr>
        <rFont val="Arial"/>
        <color theme="1"/>
        <sz val="10.0"/>
      </rPr>
      <t xml:space="preserve">Android </t>
    </r>
    <r>
      <rPr>
        <rFont val="Noto Sans CJK SC"/>
        <color theme="1"/>
        <sz val="10.0"/>
      </rPr>
      <t>桌面，一鍵開啟</t>
    </r>
  </si>
  <si>
    <r>
      <rPr>
        <rFont val="Arial"/>
        <color theme="1"/>
        <sz val="10.0"/>
      </rPr>
      <t xml:space="preserve">4. </t>
    </r>
    <r>
      <rPr>
        <rFont val="Noto Sans CJK SC"/>
        <color theme="1"/>
        <sz val="10.0"/>
      </rPr>
      <t>每完成一批工作，花</t>
    </r>
    <r>
      <rPr>
        <rFont val="Arial"/>
        <color theme="1"/>
        <sz val="10.0"/>
      </rPr>
      <t>10</t>
    </r>
    <r>
      <rPr>
        <rFont val="Noto Sans CJK SC"/>
        <color theme="1"/>
        <sz val="10.0"/>
      </rPr>
      <t>秒填寫即可</t>
    </r>
  </si>
  <si>
    <r>
      <rPr>
        <rFont val="Arial"/>
        <color theme="1"/>
        <sz val="10.0"/>
      </rPr>
      <t xml:space="preserve">5. </t>
    </r>
    <r>
      <rPr>
        <rFont val="Noto Sans CJK SC"/>
        <color theme="1"/>
        <sz val="10.0"/>
      </rPr>
      <t>週末用「週摘要」分頁做回顧</t>
    </r>
  </si>
  <si>
    <t>固定工作規則（排程參考）</t>
  </si>
  <si>
    <t>類別</t>
  </si>
  <si>
    <t>規則</t>
  </si>
  <si>
    <t>每日目標</t>
  </si>
  <si>
    <r>
      <rPr>
        <rFont val="Arial"/>
        <color theme="1"/>
        <sz val="10.0"/>
      </rPr>
      <t>X</t>
    </r>
    <r>
      <rPr>
        <rFont val="Noto Sans CJK SC"/>
        <color theme="1"/>
        <sz val="10.0"/>
      </rPr>
      <t xml:space="preserve">光 </t>
    </r>
    <r>
      <rPr>
        <rFont val="Arial"/>
        <color theme="1"/>
        <sz val="10.0"/>
      </rPr>
      <t>100-150</t>
    </r>
    <r>
      <rPr>
        <rFont val="Noto Sans CJK SC"/>
        <color theme="1"/>
        <sz val="10.0"/>
      </rPr>
      <t>份</t>
    </r>
    <r>
      <rPr>
        <rFont val="Arial"/>
        <color theme="1"/>
        <sz val="10.0"/>
      </rPr>
      <t>, CT 6</t>
    </r>
    <r>
      <rPr>
        <rFont val="Noto Sans CJK SC"/>
        <color theme="1"/>
        <sz val="10.0"/>
      </rPr>
      <t>份</t>
    </r>
    <r>
      <rPr>
        <rFont val="Arial"/>
        <color theme="1"/>
        <sz val="10.0"/>
      </rPr>
      <t>, US 15</t>
    </r>
    <r>
      <rPr>
        <rFont val="Noto Sans CJK SC"/>
        <color theme="1"/>
        <sz val="10.0"/>
      </rPr>
      <t>份</t>
    </r>
    <r>
      <rPr>
        <rFont val="Arial"/>
        <color theme="1"/>
        <sz val="10.0"/>
      </rPr>
      <t>, Mammo 15</t>
    </r>
    <r>
      <rPr>
        <rFont val="Noto Sans CJK SC"/>
        <color theme="1"/>
        <sz val="10.0"/>
      </rPr>
      <t>份</t>
    </r>
  </si>
  <si>
    <r>
      <rPr>
        <rFont val="Arial"/>
        <color theme="1"/>
        <sz val="10.0"/>
      </rPr>
      <t>CT</t>
    </r>
    <r>
      <rPr>
        <rFont val="Noto Sans CJK SC"/>
        <color theme="1"/>
        <sz val="10.0"/>
      </rPr>
      <t>每日最多</t>
    </r>
    <r>
      <rPr>
        <rFont val="Arial"/>
        <color theme="1"/>
        <sz val="10.0"/>
      </rPr>
      <t>8</t>
    </r>
    <r>
      <rPr>
        <rFont val="Noto Sans CJK SC"/>
        <color theme="1"/>
        <sz val="10.0"/>
      </rPr>
      <t>份</t>
    </r>
    <r>
      <rPr>
        <rFont val="Arial"/>
        <color theme="1"/>
        <sz val="10.0"/>
      </rPr>
      <t>, X</t>
    </r>
    <r>
      <rPr>
        <rFont val="Noto Sans CJK SC"/>
        <color theme="1"/>
        <sz val="10.0"/>
      </rPr>
      <t>光最多</t>
    </r>
    <r>
      <rPr>
        <rFont val="Arial"/>
        <color theme="1"/>
        <sz val="10.0"/>
      </rPr>
      <t>150</t>
    </r>
    <r>
      <rPr>
        <rFont val="Noto Sans CJK SC"/>
        <color theme="1"/>
        <sz val="10.0"/>
      </rPr>
      <t>份</t>
    </r>
  </si>
  <si>
    <t>可用時數</t>
  </si>
  <si>
    <r>
      <rPr>
        <rFont val="Noto Sans CJK SC"/>
        <color theme="1"/>
        <sz val="10.0"/>
      </rPr>
      <t>週一</t>
    </r>
    <r>
      <rPr>
        <rFont val="Arial"/>
        <color theme="1"/>
        <sz val="10.0"/>
      </rPr>
      <t>~</t>
    </r>
    <r>
      <rPr>
        <rFont val="Noto Sans CJK SC"/>
        <color theme="1"/>
        <sz val="10.0"/>
      </rPr>
      <t xml:space="preserve">週四 </t>
    </r>
    <r>
      <rPr>
        <rFont val="Arial"/>
        <color theme="1"/>
        <sz val="10.0"/>
      </rPr>
      <t xml:space="preserve">8hr, </t>
    </r>
    <r>
      <rPr>
        <rFont val="Noto Sans CJK SC"/>
        <color theme="1"/>
        <sz val="10.0"/>
      </rPr>
      <t xml:space="preserve">週五上午 </t>
    </r>
    <r>
      <rPr>
        <rFont val="Arial"/>
        <color theme="1"/>
        <sz val="10.0"/>
      </rPr>
      <t xml:space="preserve">4hr, </t>
    </r>
    <r>
      <rPr>
        <rFont val="Noto Sans CJK SC"/>
        <color theme="1"/>
        <sz val="10.0"/>
      </rPr>
      <t xml:space="preserve">週日午後 </t>
    </r>
    <r>
      <rPr>
        <rFont val="Arial"/>
        <color theme="1"/>
        <sz val="10.0"/>
      </rPr>
      <t>4hr</t>
    </r>
  </si>
  <si>
    <t>值班日另計</t>
  </si>
  <si>
    <r>
      <rPr>
        <rFont val="Noto Sans CJK SC"/>
        <color theme="1"/>
        <sz val="10.0"/>
      </rPr>
      <t>通常週四，值班</t>
    </r>
    <r>
      <rPr>
        <rFont val="Arial"/>
        <color theme="1"/>
        <sz val="10.0"/>
      </rPr>
      <t>X</t>
    </r>
    <r>
      <rPr>
        <rFont val="Noto Sans CJK SC"/>
        <color theme="1"/>
        <sz val="10.0"/>
      </rPr>
      <t>光</t>
    </r>
    <r>
      <rPr>
        <rFont val="Arial"/>
        <color theme="1"/>
        <sz val="10.0"/>
      </rPr>
      <t>+CT</t>
    </r>
    <r>
      <rPr>
        <rFont val="Noto Sans CJK SC"/>
        <color theme="1"/>
        <sz val="10.0"/>
      </rPr>
      <t>需當日處理</t>
    </r>
  </si>
  <si>
    <t>工作量較大</t>
  </si>
  <si>
    <r>
      <rPr>
        <rFont val="Arial"/>
        <color theme="1"/>
        <sz val="10.0"/>
      </rPr>
      <t>Mammo</t>
    </r>
    <r>
      <rPr>
        <rFont val="Noto Sans CJK SC"/>
        <color theme="1"/>
        <sz val="10.0"/>
      </rPr>
      <t>限制</t>
    </r>
  </si>
  <si>
    <r>
      <rPr>
        <rFont val="Noto Sans CJK SC"/>
        <color theme="1"/>
        <sz val="10.0"/>
      </rPr>
      <t xml:space="preserve">週二三四不限；週一六 </t>
    </r>
    <r>
      <rPr>
        <rFont val="Arial"/>
        <color theme="1"/>
        <sz val="10.0"/>
      </rPr>
      <t>18:00</t>
    </r>
    <r>
      <rPr>
        <rFont val="Noto Sans CJK SC"/>
        <color theme="1"/>
        <sz val="10.0"/>
      </rPr>
      <t xml:space="preserve">後；週五 </t>
    </r>
    <r>
      <rPr>
        <rFont val="Arial"/>
        <color theme="1"/>
        <sz val="10.0"/>
      </rPr>
      <t>21:00</t>
    </r>
    <r>
      <rPr>
        <rFont val="Noto Sans CJK SC"/>
        <color theme="1"/>
        <sz val="10.0"/>
      </rPr>
      <t>後</t>
    </r>
  </si>
  <si>
    <t>需回家則晚上無法</t>
  </si>
  <si>
    <t>休息模式</t>
  </si>
  <si>
    <r>
      <rPr>
        <rFont val="Noto Sans CJK SC"/>
        <color theme="1"/>
        <sz val="10.0"/>
      </rPr>
      <t>每</t>
    </r>
    <r>
      <rPr>
        <rFont val="Arial"/>
        <color theme="1"/>
        <sz val="10.0"/>
      </rPr>
      <t>30</t>
    </r>
    <r>
      <rPr>
        <rFont val="Noto Sans CJK SC"/>
        <color theme="1"/>
        <sz val="10.0"/>
      </rPr>
      <t>分鐘休息</t>
    </r>
    <r>
      <rPr>
        <rFont val="Arial"/>
        <color theme="1"/>
        <sz val="10.0"/>
      </rPr>
      <t>5</t>
    </r>
    <r>
      <rPr>
        <rFont val="Noto Sans CJK SC"/>
        <color theme="1"/>
        <sz val="10.0"/>
      </rPr>
      <t>分鐘</t>
    </r>
  </si>
  <si>
    <r>
      <rPr>
        <rFont val="Noto Sans CJK SC"/>
        <color theme="1"/>
        <sz val="10.0"/>
      </rPr>
      <t>每兩天</t>
    </r>
    <r>
      <rPr>
        <rFont val="Arial"/>
        <color theme="1"/>
        <sz val="10.0"/>
      </rPr>
      <t>2</t>
    </r>
    <r>
      <rPr>
        <rFont val="Noto Sans CJK SC"/>
        <color theme="1"/>
        <sz val="10.0"/>
      </rPr>
      <t>小時，每天建議</t>
    </r>
    <r>
      <rPr>
        <rFont val="Arial"/>
        <color theme="1"/>
        <sz val="10.0"/>
      </rPr>
      <t>1-2</t>
    </r>
    <r>
      <rPr>
        <rFont val="Noto Sans CJK SC"/>
        <color theme="1"/>
        <sz val="10.0"/>
      </rPr>
      <t>小時</t>
    </r>
  </si>
  <si>
    <t>需記錄主題</t>
  </si>
  <si>
    <t>週末</t>
  </si>
  <si>
    <r>
      <rPr>
        <rFont val="Noto Sans CJK SC"/>
        <color theme="1"/>
        <sz val="10.0"/>
      </rPr>
      <t>週六可工作</t>
    </r>
    <r>
      <rPr>
        <rFont val="Arial"/>
        <color theme="1"/>
        <sz val="10.0"/>
      </rPr>
      <t xml:space="preserve">6-8hr, </t>
    </r>
    <r>
      <rPr>
        <rFont val="Noto Sans CJK SC"/>
        <color theme="1"/>
        <sz val="10.0"/>
      </rPr>
      <t>週日不排或</t>
    </r>
    <r>
      <rPr>
        <rFont val="Arial"/>
        <color theme="1"/>
        <sz val="10.0"/>
      </rPr>
      <t>4hr</t>
    </r>
  </si>
  <si>
    <t>視情況調整</t>
  </si>
  <si>
    <t>上課</t>
  </si>
  <si>
    <r>
      <rPr>
        <rFont val="Noto Sans CJK SC"/>
        <color theme="1"/>
        <sz val="10.0"/>
      </rPr>
      <t>週五下午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週六全天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週日上午 可能需上課</t>
    </r>
  </si>
  <si>
    <t>提前確認</t>
  </si>
  <si>
    <t>結束規則</t>
  </si>
  <si>
    <r>
      <rPr>
        <rFont val="Noto Sans CJK SC"/>
        <color theme="1"/>
        <sz val="10.0"/>
      </rPr>
      <t>平日晚上說結束時，預設再加</t>
    </r>
    <r>
      <rPr>
        <rFont val="Arial"/>
        <color theme="1"/>
        <sz val="10.0"/>
      </rPr>
      <t>30</t>
    </r>
    <r>
      <rPr>
        <rFont val="Noto Sans CJK SC"/>
        <color theme="1"/>
        <sz val="10.0"/>
      </rPr>
      <t>分鐘</t>
    </r>
  </si>
  <si>
    <t>除非特別註明</t>
  </si>
  <si>
    <t>回報格式</t>
  </si>
  <si>
    <r>
      <rPr>
        <rFont val="Arial"/>
        <color theme="1"/>
        <sz val="10.0"/>
      </rPr>
      <t>xx</t>
    </r>
    <r>
      <rPr>
        <rFont val="Noto Sans CJK SC"/>
        <color theme="1"/>
        <sz val="10.0"/>
      </rPr>
      <t xml:space="preserve">分完成 </t>
    </r>
    <r>
      <rPr>
        <rFont val="Arial"/>
        <color theme="1"/>
        <sz val="10.0"/>
      </rPr>
      <t>yy*</t>
    </r>
    <r>
      <rPr>
        <rFont val="Noto Sans CJK SC"/>
        <color theme="1"/>
        <sz val="10.0"/>
      </rPr>
      <t xml:space="preserve">模態 或 </t>
    </r>
    <r>
      <rPr>
        <rFont val="Arial"/>
        <color theme="1"/>
        <sz val="10.0"/>
      </rPr>
      <t>xx</t>
    </r>
    <r>
      <rPr>
        <rFont val="Noto Sans CJK SC"/>
        <color theme="1"/>
        <sz val="10.0"/>
      </rPr>
      <t>分完成</t>
    </r>
    <r>
      <rPr>
        <rFont val="Arial"/>
        <color theme="1"/>
        <sz val="10.0"/>
      </rPr>
      <t xml:space="preserve">yy </t>
    </r>
    <r>
      <rPr>
        <rFont val="Noto Sans CJK SC"/>
        <color theme="1"/>
        <sz val="10.0"/>
      </rPr>
      <t>模態</t>
    </r>
  </si>
  <si>
    <t>自動解析用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</si>
</sst>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/d"/>
    <numFmt numFmtId="165" formatCode="0.0%"/>
    <numFmt numFmtId="166" formatCode="0.0"/>
  </numFmts>
  <fonts count="14">
    <font>
      <sz val="11.0"/>
      <color theme="1"/>
      <name val="Calibri"/>
      <scheme val="minor"/>
    </font>
    <font>
      <b/>
      <sz val="11.0"/>
      <color rgb="FFFFFFFF"/>
      <name val="Noto Sans"/>
    </font>
    <font>
      <i/>
      <sz val="9.0"/>
      <color rgb="FF808080"/>
      <name val="Arial"/>
    </font>
    <font>
      <i/>
      <sz val="9.0"/>
      <color rgb="FF808080"/>
      <name val="Noto Sans"/>
    </font>
    <font>
      <color theme="1"/>
      <name val="Arial"/>
    </font>
    <font>
      <color theme="1"/>
      <name val="Calibri"/>
      <scheme val="minor"/>
    </font>
    <font>
      <sz val="10.0"/>
      <color theme="1"/>
      <name val="Arial"/>
    </font>
    <font>
      <sz val="10.0"/>
      <color theme="1"/>
      <name val="Noto Sans"/>
    </font>
    <font>
      <b/>
      <sz val="14.0"/>
      <color rgb="FF2F5496"/>
      <name val="Noto Sans"/>
    </font>
    <font>
      <sz val="11.0"/>
      <color theme="1"/>
      <name val="Noto Sans"/>
    </font>
    <font>
      <b/>
      <sz val="12.0"/>
      <color rgb="FF2F5496"/>
      <name val="Noto Sans"/>
    </font>
    <font>
      <b/>
      <sz val="10.0"/>
      <color theme="1"/>
      <name val="Noto Sans"/>
    </font>
    <font>
      <b/>
      <sz val="11.0"/>
      <color rgb="FFFFFFFF"/>
      <name val="Arial"/>
    </font>
    <font>
      <b/>
      <sz val="14.0"/>
      <color rgb="FF2F5496"/>
      <name val="Arial"/>
    </font>
  </fonts>
  <fills count="7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548235"/>
        <bgColor rgb="FF548235"/>
      </patternFill>
    </fill>
    <fill>
      <patternFill patternType="solid">
        <fgColor rgb="FFBF8F00"/>
        <bgColor rgb="FFBF8F00"/>
      </patternFill>
    </fill>
    <fill>
      <patternFill patternType="solid">
        <fgColor rgb="FFC55A11"/>
        <bgColor rgb="FFC55A11"/>
      </patternFill>
    </fill>
    <fill>
      <patternFill patternType="solid">
        <fgColor rgb="FF7030A0"/>
        <bgColor rgb="FF7030A0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164" xfId="0" applyAlignment="1" applyFont="1" applyNumberFormat="1">
      <alignment horizontal="left" readingOrder="0"/>
    </xf>
    <xf borderId="0" fillId="0" fontId="5" numFmtId="0" xfId="0" applyAlignment="1" applyFont="1">
      <alignment horizontal="left" readingOrder="0"/>
    </xf>
    <xf borderId="0" fillId="0" fontId="4" numFmtId="20" xfId="0" applyAlignment="1" applyFont="1" applyNumberFormat="1">
      <alignment horizontal="left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right" readingOrder="0"/>
    </xf>
    <xf borderId="0" fillId="0" fontId="5" numFmtId="0" xfId="0" applyAlignment="1" applyFont="1">
      <alignment horizontal="left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164" xfId="0" applyAlignment="1" applyFont="1" applyNumberFormat="1">
      <alignment readingOrder="0"/>
    </xf>
    <xf borderId="1" fillId="3" fontId="1" numFmtId="0" xfId="0" applyAlignment="1" applyBorder="1" applyFill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1" fillId="4" fontId="1" numFmtId="0" xfId="0" applyAlignment="1" applyBorder="1" applyFill="1" applyFont="1">
      <alignment horizontal="center" shrinkToFit="0" vertical="center" wrapText="0"/>
    </xf>
    <xf borderId="1" fillId="0" fontId="6" numFmtId="165" xfId="0" applyAlignment="1" applyBorder="1" applyFont="1" applyNumberFormat="1">
      <alignment horizontal="center" shrinkToFit="0" vertical="center" wrapText="0"/>
    </xf>
    <xf borderId="1" fillId="0" fontId="6" numFmtId="166" xfId="0" applyAlignment="1" applyBorder="1" applyFont="1" applyNumberFormat="1">
      <alignment horizontal="center" shrinkToFit="0" vertical="center" wrapText="0"/>
    </xf>
    <xf borderId="0" fillId="0" fontId="11" numFmtId="0" xfId="0" applyAlignment="1" applyFont="1">
      <alignment shrinkToFit="0" vertical="bottom" wrapText="0"/>
    </xf>
    <xf borderId="1" fillId="4" fontId="12" numFmtId="0" xfId="0" applyAlignment="1" applyBorder="1" applyFont="1">
      <alignment horizontal="center" shrinkToFit="0" vertical="center" wrapText="0"/>
    </xf>
    <xf borderId="0" fillId="0" fontId="13" numFmtId="0" xfId="0" applyAlignment="1" applyFont="1">
      <alignment shrinkToFit="0" vertical="bottom" wrapText="0"/>
    </xf>
    <xf borderId="1" fillId="5" fontId="1" numFmtId="0" xfId="0" applyAlignment="1" applyBorder="1" applyFill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1" fillId="6" fontId="1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8.0"/>
    <col customWidth="1" min="3" max="3" width="28.86"/>
    <col customWidth="1" min="4" max="4" width="10.0"/>
    <col customWidth="1" min="5" max="5" width="14.0"/>
    <col customWidth="1" min="6" max="6" width="8.0"/>
    <col customWidth="1" min="7" max="7" width="12.0"/>
    <col customWidth="1" min="8" max="8" width="14.0"/>
    <col customWidth="1" min="9" max="9" width="12.0"/>
    <col customWidth="1" min="10" max="10" width="25.0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 t="s">
        <v>11</v>
      </c>
      <c r="C2" s="2" t="s">
        <v>12</v>
      </c>
      <c r="D2" s="2" t="s">
        <v>13</v>
      </c>
      <c r="E2" s="3" t="s">
        <v>14</v>
      </c>
      <c r="F2" s="3" t="s">
        <v>15</v>
      </c>
      <c r="G2" s="2" t="s">
        <v>16</v>
      </c>
      <c r="H2" s="2" t="s">
        <v>17</v>
      </c>
      <c r="I2" s="2">
        <f>G2/(H2/60)</f>
        <v>55.2</v>
      </c>
      <c r="J2" s="3" t="s">
        <v>18</v>
      </c>
    </row>
    <row r="3">
      <c r="A3" s="4">
        <v>46076.0</v>
      </c>
      <c r="B3" s="5" t="s">
        <v>11</v>
      </c>
      <c r="C3" s="6">
        <v>0.5819444444444445</v>
      </c>
      <c r="D3" s="7" t="s">
        <v>19</v>
      </c>
      <c r="E3" s="7" t="s">
        <v>20</v>
      </c>
      <c r="G3" s="8">
        <v>1.0</v>
      </c>
      <c r="H3" s="8">
        <v>20.0</v>
      </c>
      <c r="I3" s="8">
        <v>3.0</v>
      </c>
      <c r="J3" s="9"/>
    </row>
    <row r="4">
      <c r="A4" s="4">
        <v>46076.0</v>
      </c>
      <c r="B4" s="5" t="s">
        <v>11</v>
      </c>
      <c r="C4" s="6">
        <v>0.6020833333333333</v>
      </c>
      <c r="D4" s="7" t="s">
        <v>21</v>
      </c>
      <c r="F4" s="5" t="s">
        <v>22</v>
      </c>
      <c r="G4" s="8">
        <v>14.0</v>
      </c>
      <c r="H4" s="8">
        <v>26.0</v>
      </c>
      <c r="I4" s="8">
        <v>32.3</v>
      </c>
      <c r="J4" s="9"/>
    </row>
    <row r="5">
      <c r="A5" s="4">
        <v>46076.0</v>
      </c>
      <c r="B5" s="5" t="s">
        <v>11</v>
      </c>
      <c r="C5" s="6">
        <v>0.6680555555555555</v>
      </c>
      <c r="D5" s="7" t="s">
        <v>21</v>
      </c>
      <c r="E5" s="5" t="s">
        <v>23</v>
      </c>
      <c r="G5" s="8">
        <v>10.0</v>
      </c>
      <c r="H5" s="8">
        <v>25.0</v>
      </c>
      <c r="I5" s="8">
        <v>24.0</v>
      </c>
      <c r="J5" s="9"/>
    </row>
    <row r="6">
      <c r="A6" s="4">
        <v>46076.0</v>
      </c>
      <c r="B6" s="5" t="s">
        <v>11</v>
      </c>
      <c r="C6" s="6">
        <v>0.7458333333333333</v>
      </c>
      <c r="D6" s="7" t="s">
        <v>24</v>
      </c>
      <c r="E6" s="7" t="s">
        <v>25</v>
      </c>
      <c r="G6" s="8">
        <v>7.0</v>
      </c>
      <c r="H6" s="8">
        <v>10.0</v>
      </c>
      <c r="I6" s="8">
        <v>42.0</v>
      </c>
      <c r="J6" s="9"/>
    </row>
    <row r="7">
      <c r="A7" s="4">
        <v>46076.0</v>
      </c>
      <c r="B7" s="5" t="s">
        <v>11</v>
      </c>
      <c r="C7" s="6">
        <v>0.7458333333333333</v>
      </c>
      <c r="D7" s="7" t="s">
        <v>21</v>
      </c>
      <c r="E7" s="5" t="s">
        <v>23</v>
      </c>
      <c r="G7" s="8">
        <v>10.0</v>
      </c>
      <c r="H7" s="8">
        <v>20.0</v>
      </c>
      <c r="I7" s="8">
        <v>30.0</v>
      </c>
      <c r="J7" s="9"/>
    </row>
    <row r="8">
      <c r="A8" s="4">
        <v>46077.0</v>
      </c>
      <c r="B8" s="5" t="s">
        <v>11</v>
      </c>
      <c r="C8" s="6">
        <v>0.01597222222222222</v>
      </c>
      <c r="D8" s="7" t="s">
        <v>19</v>
      </c>
      <c r="E8" s="7" t="s">
        <v>20</v>
      </c>
      <c r="G8" s="8">
        <v>2.0</v>
      </c>
      <c r="H8" s="8">
        <v>40.0</v>
      </c>
      <c r="I8" s="8">
        <v>3.0</v>
      </c>
    </row>
    <row r="9">
      <c r="A9" s="4">
        <v>46077.0</v>
      </c>
      <c r="B9" s="5" t="s">
        <v>11</v>
      </c>
      <c r="C9" s="6">
        <v>0.1423611111111111</v>
      </c>
      <c r="D9" s="7" t="s">
        <v>21</v>
      </c>
      <c r="F9" s="5" t="s">
        <v>14</v>
      </c>
      <c r="G9" s="8">
        <v>30.0</v>
      </c>
      <c r="H9" s="8">
        <v>32.0</v>
      </c>
      <c r="I9" s="8">
        <v>56.3</v>
      </c>
    </row>
    <row r="10">
      <c r="A10" s="4">
        <v>46077.0</v>
      </c>
      <c r="B10" s="5" t="s">
        <v>11</v>
      </c>
      <c r="C10" s="6">
        <v>0.1423611111111111</v>
      </c>
      <c r="D10" s="7" t="s">
        <v>19</v>
      </c>
      <c r="E10" s="7" t="s">
        <v>20</v>
      </c>
      <c r="G10" s="8">
        <v>1.0</v>
      </c>
      <c r="H10" s="8">
        <v>30.0</v>
      </c>
      <c r="I10" s="8">
        <v>2.0</v>
      </c>
    </row>
    <row r="11">
      <c r="A11" s="4">
        <v>46077.0</v>
      </c>
      <c r="B11" s="5" t="s">
        <v>11</v>
      </c>
      <c r="C11" s="6">
        <v>0.96875</v>
      </c>
      <c r="D11" s="7" t="s">
        <v>19</v>
      </c>
      <c r="E11" s="7" t="s">
        <v>20</v>
      </c>
      <c r="G11" s="8">
        <v>1.0</v>
      </c>
      <c r="H11" s="8">
        <v>20.0</v>
      </c>
      <c r="I11" s="8">
        <v>3.0</v>
      </c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</row>
    <row r="13">
      <c r="A13" s="4">
        <v>46077.0</v>
      </c>
      <c r="B13" s="5" t="s">
        <v>26</v>
      </c>
      <c r="C13" s="6">
        <v>0.3972222222222222</v>
      </c>
      <c r="D13" s="7" t="s">
        <v>27</v>
      </c>
      <c r="E13" s="7" t="s">
        <v>28</v>
      </c>
      <c r="G13" s="8">
        <v>17.0</v>
      </c>
      <c r="H13" s="8">
        <v>40.0</v>
      </c>
      <c r="I13" s="8">
        <v>25.5</v>
      </c>
      <c r="J13" s="9"/>
    </row>
    <row r="14">
      <c r="A14" s="4">
        <v>46077.0</v>
      </c>
      <c r="B14" s="5" t="s">
        <v>26</v>
      </c>
      <c r="C14" s="6">
        <v>0.44513888888888886</v>
      </c>
      <c r="D14" s="7" t="s">
        <v>27</v>
      </c>
      <c r="E14" s="7" t="s">
        <v>28</v>
      </c>
      <c r="G14" s="8">
        <v>4.0</v>
      </c>
      <c r="H14" s="8">
        <v>14.0</v>
      </c>
      <c r="I14" s="8">
        <v>17.1</v>
      </c>
      <c r="J14" s="9"/>
    </row>
    <row r="15">
      <c r="A15" s="4">
        <v>46077.0</v>
      </c>
      <c r="B15" s="5" t="s">
        <v>26</v>
      </c>
      <c r="C15" s="6">
        <v>0.45555555555555555</v>
      </c>
      <c r="D15" s="7" t="s">
        <v>29</v>
      </c>
      <c r="F15" s="5" t="s">
        <v>15</v>
      </c>
      <c r="G15" s="8">
        <v>1.0</v>
      </c>
      <c r="H15" s="8">
        <v>2.0</v>
      </c>
      <c r="I15" s="8">
        <v>30.0</v>
      </c>
      <c r="J15" s="9"/>
    </row>
    <row r="16">
      <c r="A16" s="4">
        <v>46077.0</v>
      </c>
      <c r="B16" s="5" t="s">
        <v>26</v>
      </c>
      <c r="C16" s="6">
        <v>0.5166666666666667</v>
      </c>
      <c r="D16" s="7" t="s">
        <v>29</v>
      </c>
      <c r="F16" s="5" t="s">
        <v>15</v>
      </c>
      <c r="G16" s="8">
        <v>9.0</v>
      </c>
      <c r="H16" s="8">
        <v>30.0</v>
      </c>
      <c r="I16" s="8">
        <v>18.0</v>
      </c>
      <c r="J16" s="9"/>
    </row>
    <row r="17">
      <c r="A17" s="4">
        <v>46077.0</v>
      </c>
      <c r="B17" s="5" t="s">
        <v>26</v>
      </c>
      <c r="C17" s="6">
        <v>0.5743055555555555</v>
      </c>
      <c r="D17" s="7" t="s">
        <v>21</v>
      </c>
      <c r="F17" s="5" t="s">
        <v>14</v>
      </c>
      <c r="G17" s="8">
        <v>2.0</v>
      </c>
      <c r="H17" s="8">
        <v>2.0</v>
      </c>
      <c r="I17" s="8">
        <v>60.0</v>
      </c>
      <c r="J17" s="9"/>
    </row>
    <row r="18">
      <c r="A18" s="4">
        <v>46077.0</v>
      </c>
      <c r="B18" s="5" t="s">
        <v>26</v>
      </c>
      <c r="C18" s="6">
        <v>0.6215277777777778</v>
      </c>
      <c r="D18" s="7" t="s">
        <v>24</v>
      </c>
      <c r="E18" s="7" t="s">
        <v>25</v>
      </c>
      <c r="G18" s="8">
        <v>4.0</v>
      </c>
      <c r="H18" s="8">
        <v>3.0</v>
      </c>
      <c r="I18" s="8">
        <v>80.0</v>
      </c>
      <c r="J18" s="9"/>
    </row>
    <row r="19">
      <c r="A19" s="4">
        <v>46077.0</v>
      </c>
      <c r="B19" s="5" t="s">
        <v>26</v>
      </c>
      <c r="C19" s="6">
        <v>0.65</v>
      </c>
      <c r="D19" s="7" t="s">
        <v>27</v>
      </c>
      <c r="E19" s="7" t="s">
        <v>28</v>
      </c>
      <c r="G19" s="8">
        <v>14.0</v>
      </c>
      <c r="H19" s="8">
        <v>30.0</v>
      </c>
      <c r="I19" s="8">
        <v>28.0</v>
      </c>
      <c r="J19" s="9"/>
    </row>
    <row r="20" ht="15.75" customHeight="1">
      <c r="A20" s="4">
        <v>46077.0</v>
      </c>
      <c r="B20" s="5" t="s">
        <v>26</v>
      </c>
      <c r="C20" s="6">
        <v>0.6819444444444445</v>
      </c>
      <c r="D20" s="7" t="s">
        <v>29</v>
      </c>
      <c r="F20" s="5" t="s">
        <v>30</v>
      </c>
      <c r="G20" s="8">
        <v>2.0</v>
      </c>
      <c r="H20" s="8">
        <v>24.0</v>
      </c>
      <c r="I20" s="8">
        <v>5.0</v>
      </c>
      <c r="J20" s="9"/>
    </row>
    <row r="21" ht="15.75" customHeight="1">
      <c r="A21" s="9"/>
      <c r="B21" s="9"/>
      <c r="C21" s="6"/>
      <c r="D21" s="9"/>
      <c r="E21" s="9"/>
      <c r="F21" s="9"/>
      <c r="G21" s="9"/>
      <c r="H21" s="9"/>
      <c r="I21" s="9"/>
    </row>
    <row r="22" ht="15.75" customHeight="1">
      <c r="A22" s="4">
        <v>46077.0</v>
      </c>
      <c r="B22" s="5" t="s">
        <v>26</v>
      </c>
      <c r="C22" s="6">
        <v>0.9875</v>
      </c>
      <c r="D22" s="10" t="s">
        <v>21</v>
      </c>
      <c r="F22" s="10" t="s">
        <v>14</v>
      </c>
      <c r="G22" s="10">
        <v>27.0</v>
      </c>
      <c r="H22" s="10">
        <v>25.0</v>
      </c>
      <c r="I22" s="10">
        <v>64.8</v>
      </c>
    </row>
    <row r="23" ht="15.75" customHeight="1">
      <c r="A23" s="4">
        <v>46078.0</v>
      </c>
      <c r="B23" s="5" t="s">
        <v>26</v>
      </c>
      <c r="C23" s="6">
        <v>0.04097222222222222</v>
      </c>
      <c r="D23" s="10" t="s">
        <v>21</v>
      </c>
      <c r="F23" s="10" t="s">
        <v>30</v>
      </c>
      <c r="G23" s="10">
        <v>5.0</v>
      </c>
      <c r="H23" s="10">
        <v>25.0</v>
      </c>
      <c r="I23" s="10">
        <v>12.0</v>
      </c>
    </row>
    <row r="24" ht="15.75" customHeight="1">
      <c r="A24" s="4">
        <v>46078.0</v>
      </c>
      <c r="B24" s="5" t="s">
        <v>26</v>
      </c>
      <c r="C24" s="6">
        <v>0.04097222222222222</v>
      </c>
      <c r="D24" s="10" t="s">
        <v>24</v>
      </c>
      <c r="E24" s="10" t="s">
        <v>25</v>
      </c>
      <c r="G24" s="10">
        <v>2.0</v>
      </c>
      <c r="H24" s="10">
        <v>3.0</v>
      </c>
      <c r="I24" s="10">
        <v>40.0</v>
      </c>
    </row>
    <row r="25" ht="15.75" customHeight="1">
      <c r="A25" s="4">
        <v>46078.0</v>
      </c>
      <c r="B25" s="5" t="s">
        <v>26</v>
      </c>
      <c r="C25" s="6">
        <v>0.07152777777777777</v>
      </c>
      <c r="D25" s="10" t="s">
        <v>21</v>
      </c>
      <c r="F25" s="10" t="s">
        <v>14</v>
      </c>
      <c r="G25" s="10">
        <v>15.0</v>
      </c>
      <c r="H25" s="10">
        <v>20.0</v>
      </c>
      <c r="I25" s="10">
        <v>45.0</v>
      </c>
    </row>
    <row r="26" ht="15.75" customHeight="1">
      <c r="A26" s="4">
        <v>46078.0</v>
      </c>
      <c r="B26" s="5" t="s">
        <v>26</v>
      </c>
      <c r="C26" s="6">
        <v>0.1</v>
      </c>
      <c r="D26" s="10" t="s">
        <v>21</v>
      </c>
      <c r="F26" s="10" t="s">
        <v>14</v>
      </c>
      <c r="G26" s="10">
        <v>9.0</v>
      </c>
      <c r="H26" s="10">
        <v>11.0</v>
      </c>
      <c r="I26" s="10">
        <v>49.1</v>
      </c>
    </row>
    <row r="27" ht="15.75" customHeight="1">
      <c r="A27" s="4">
        <v>46078.0</v>
      </c>
      <c r="B27" s="5" t="s">
        <v>26</v>
      </c>
      <c r="C27" s="6">
        <v>0.1</v>
      </c>
      <c r="D27" s="10" t="s">
        <v>21</v>
      </c>
      <c r="F27" s="10" t="s">
        <v>14</v>
      </c>
      <c r="G27" s="10">
        <v>18.0</v>
      </c>
      <c r="H27" s="10">
        <v>25.0</v>
      </c>
      <c r="I27" s="10">
        <v>43.2</v>
      </c>
    </row>
    <row r="28" ht="15.75" customHeight="1">
      <c r="I28" s="11" t="str">
        <f>IF(AND(G28&lt;&gt;"",H28&lt;&gt;"",H28&gt;0),G28/(H28/60),"")</f>
        <v/>
      </c>
    </row>
    <row r="29" ht="15.75" customHeight="1">
      <c r="A29" s="4">
        <v>46078.0</v>
      </c>
      <c r="B29" s="5" t="s">
        <v>31</v>
      </c>
      <c r="C29" s="6">
        <v>0.3763888888888889</v>
      </c>
      <c r="D29" s="7" t="s">
        <v>21</v>
      </c>
      <c r="E29" s="5" t="s">
        <v>23</v>
      </c>
      <c r="G29" s="8">
        <v>11.0</v>
      </c>
      <c r="H29" s="8">
        <v>15.0</v>
      </c>
      <c r="I29" s="8">
        <v>44.0</v>
      </c>
    </row>
    <row r="30" ht="15.75" customHeight="1">
      <c r="A30" s="4">
        <v>46078.0</v>
      </c>
      <c r="B30" s="5" t="s">
        <v>31</v>
      </c>
      <c r="C30" s="6">
        <v>0.44583333333333336</v>
      </c>
      <c r="D30" s="7" t="s">
        <v>32</v>
      </c>
      <c r="E30" s="5" t="s">
        <v>33</v>
      </c>
      <c r="G30" s="8">
        <v>0.0</v>
      </c>
      <c r="H30" s="8">
        <v>60.0</v>
      </c>
      <c r="I30" s="8">
        <v>0.0</v>
      </c>
    </row>
    <row r="31" ht="15.75" customHeight="1">
      <c r="A31" s="4">
        <v>46078.0</v>
      </c>
      <c r="B31" s="5" t="s">
        <v>31</v>
      </c>
      <c r="C31" s="6">
        <v>0.4597222222222222</v>
      </c>
      <c r="D31" s="7" t="s">
        <v>21</v>
      </c>
      <c r="E31" s="5" t="s">
        <v>22</v>
      </c>
      <c r="G31" s="8">
        <v>12.0</v>
      </c>
      <c r="H31" s="8">
        <v>20.0</v>
      </c>
      <c r="I31" s="8">
        <v>36.0</v>
      </c>
    </row>
    <row r="32" ht="15.75" customHeight="1">
      <c r="A32" s="4">
        <v>46078.0</v>
      </c>
      <c r="B32" s="5" t="s">
        <v>31</v>
      </c>
      <c r="C32" s="6">
        <v>0.5791666666666667</v>
      </c>
      <c r="D32" s="7" t="s">
        <v>21</v>
      </c>
      <c r="E32" s="5" t="s">
        <v>23</v>
      </c>
      <c r="G32" s="8">
        <v>26.0</v>
      </c>
      <c r="H32" s="8">
        <v>31.0</v>
      </c>
      <c r="I32" s="8">
        <v>50.3</v>
      </c>
    </row>
    <row r="33" ht="15.75" customHeight="1">
      <c r="A33" s="4">
        <v>46078.0</v>
      </c>
      <c r="B33" s="5" t="s">
        <v>31</v>
      </c>
      <c r="C33" s="6">
        <v>0.7138888888888889</v>
      </c>
      <c r="D33" s="7" t="s">
        <v>21</v>
      </c>
      <c r="E33" s="5" t="s">
        <v>23</v>
      </c>
      <c r="G33" s="8">
        <v>13.0</v>
      </c>
      <c r="H33" s="8">
        <v>24.0</v>
      </c>
      <c r="I33" s="8">
        <v>32.5</v>
      </c>
    </row>
    <row r="34" ht="15.75" customHeight="1">
      <c r="A34" s="4">
        <v>46078.0</v>
      </c>
      <c r="B34" s="5" t="s">
        <v>31</v>
      </c>
      <c r="C34" s="6">
        <v>0.7347222222222223</v>
      </c>
      <c r="D34" s="7" t="s">
        <v>21</v>
      </c>
      <c r="E34" s="5" t="s">
        <v>23</v>
      </c>
      <c r="G34" s="8">
        <v>10.0</v>
      </c>
      <c r="H34" s="8">
        <v>15.0</v>
      </c>
      <c r="I34" s="8">
        <v>40.0</v>
      </c>
    </row>
    <row r="35" ht="15.75" customHeight="1">
      <c r="A35" s="4">
        <v>46078.0</v>
      </c>
      <c r="B35" s="5" t="s">
        <v>31</v>
      </c>
      <c r="C35" s="6">
        <v>0.7354166666666667</v>
      </c>
      <c r="D35" s="7" t="s">
        <v>21</v>
      </c>
      <c r="E35" s="5" t="s">
        <v>23</v>
      </c>
      <c r="G35" s="8">
        <v>6.0</v>
      </c>
      <c r="H35" s="8">
        <v>8.0</v>
      </c>
      <c r="I35" s="8">
        <v>45.0</v>
      </c>
      <c r="J35" s="10" t="s">
        <v>34</v>
      </c>
    </row>
    <row r="36" ht="15.75" customHeight="1">
      <c r="A36" s="4">
        <v>46078.0</v>
      </c>
      <c r="B36" s="5" t="s">
        <v>31</v>
      </c>
      <c r="C36" s="6">
        <v>0.7666666666666667</v>
      </c>
      <c r="D36" s="7" t="s">
        <v>35</v>
      </c>
      <c r="E36" s="7" t="s">
        <v>36</v>
      </c>
      <c r="G36" s="8">
        <v>1.0</v>
      </c>
      <c r="H36" s="8">
        <v>30.0</v>
      </c>
      <c r="I36" s="8">
        <v>2.0</v>
      </c>
      <c r="J36" s="10" t="s">
        <v>34</v>
      </c>
    </row>
    <row r="37" ht="15.75" customHeight="1">
      <c r="A37" s="4">
        <v>46078.0</v>
      </c>
      <c r="B37" s="5" t="s">
        <v>31</v>
      </c>
      <c r="C37" s="6">
        <v>0.7875</v>
      </c>
      <c r="D37" s="7" t="s">
        <v>21</v>
      </c>
      <c r="E37" s="5" t="s">
        <v>23</v>
      </c>
      <c r="G37" s="8">
        <v>11.0</v>
      </c>
      <c r="H37" s="8">
        <v>15.0</v>
      </c>
      <c r="I37" s="8">
        <v>44.0</v>
      </c>
      <c r="J37" s="10" t="s">
        <v>34</v>
      </c>
    </row>
    <row r="38" ht="15.75" customHeight="1">
      <c r="A38" s="4">
        <v>46078.0</v>
      </c>
      <c r="B38" s="5" t="s">
        <v>31</v>
      </c>
      <c r="C38" s="6">
        <v>0.8006944444444445</v>
      </c>
      <c r="D38" s="7" t="s">
        <v>19</v>
      </c>
      <c r="E38" s="7" t="s">
        <v>37</v>
      </c>
      <c r="G38" s="8">
        <v>1.0</v>
      </c>
      <c r="H38" s="8">
        <v>18.0</v>
      </c>
      <c r="I38" s="8">
        <v>3.3</v>
      </c>
      <c r="J38" s="10" t="s">
        <v>34</v>
      </c>
    </row>
    <row r="39" ht="15.75" customHeight="1">
      <c r="A39" s="4">
        <v>46078.0</v>
      </c>
      <c r="B39" s="5" t="s">
        <v>31</v>
      </c>
      <c r="C39" s="6">
        <v>0.8277777777777777</v>
      </c>
      <c r="D39" s="7" t="s">
        <v>21</v>
      </c>
      <c r="E39" s="5" t="s">
        <v>23</v>
      </c>
      <c r="G39" s="8">
        <v>17.0</v>
      </c>
      <c r="H39" s="8">
        <v>29.0</v>
      </c>
      <c r="I39" s="8">
        <v>35.2</v>
      </c>
      <c r="J39" s="10" t="s">
        <v>34</v>
      </c>
    </row>
    <row r="40" ht="15.75" customHeight="1">
      <c r="A40" s="4">
        <v>46078.0</v>
      </c>
      <c r="B40" s="5" t="s">
        <v>31</v>
      </c>
      <c r="C40" s="6">
        <v>0.8458333333333333</v>
      </c>
      <c r="D40" s="7" t="s">
        <v>19</v>
      </c>
      <c r="E40" s="7" t="s">
        <v>38</v>
      </c>
      <c r="G40" s="8">
        <v>2.0</v>
      </c>
      <c r="H40" s="8">
        <v>15.0</v>
      </c>
      <c r="I40" s="8">
        <v>8.0</v>
      </c>
      <c r="J40" s="10" t="s">
        <v>34</v>
      </c>
    </row>
    <row r="41" ht="15.75" customHeight="1">
      <c r="A41" s="4">
        <v>46078.0</v>
      </c>
      <c r="B41" s="5" t="s">
        <v>31</v>
      </c>
      <c r="C41" s="6">
        <v>0.8694444444444445</v>
      </c>
      <c r="D41" s="7" t="s">
        <v>21</v>
      </c>
      <c r="E41" s="5" t="s">
        <v>23</v>
      </c>
      <c r="G41" s="8">
        <v>18.0</v>
      </c>
      <c r="H41" s="8">
        <v>28.0</v>
      </c>
      <c r="I41" s="8">
        <v>38.6</v>
      </c>
      <c r="J41" s="10" t="s">
        <v>34</v>
      </c>
    </row>
    <row r="42" ht="15.75" customHeight="1">
      <c r="A42" s="4">
        <v>46078.0</v>
      </c>
      <c r="B42" s="5" t="s">
        <v>31</v>
      </c>
      <c r="C42" s="6">
        <v>0.8958333333333334</v>
      </c>
      <c r="D42" s="7" t="s">
        <v>19</v>
      </c>
      <c r="E42" s="7" t="s">
        <v>37</v>
      </c>
      <c r="G42" s="8">
        <v>1.0</v>
      </c>
      <c r="H42" s="8">
        <v>22.0</v>
      </c>
      <c r="I42" s="8">
        <v>2.7</v>
      </c>
      <c r="J42" s="10" t="s">
        <v>34</v>
      </c>
    </row>
    <row r="43" ht="15.75" customHeight="1">
      <c r="A43" s="4">
        <v>46078.0</v>
      </c>
      <c r="B43" s="5" t="s">
        <v>31</v>
      </c>
      <c r="C43" s="6">
        <v>0.9243055555555556</v>
      </c>
      <c r="D43" s="7" t="s">
        <v>21</v>
      </c>
      <c r="E43" s="5" t="s">
        <v>23</v>
      </c>
      <c r="G43" s="8">
        <v>23.0</v>
      </c>
      <c r="H43" s="8">
        <v>33.0</v>
      </c>
      <c r="I43" s="8">
        <v>41.8</v>
      </c>
      <c r="J43" s="10" t="s">
        <v>34</v>
      </c>
    </row>
    <row r="44" ht="15.75" customHeight="1">
      <c r="A44" s="4">
        <v>46078.0</v>
      </c>
      <c r="B44" s="5" t="s">
        <v>31</v>
      </c>
      <c r="C44" s="6">
        <v>0.95</v>
      </c>
      <c r="D44" s="7" t="s">
        <v>19</v>
      </c>
      <c r="E44" s="7" t="s">
        <v>38</v>
      </c>
      <c r="G44" s="8">
        <v>3.0</v>
      </c>
      <c r="H44" s="8">
        <v>15.0</v>
      </c>
      <c r="I44" s="8">
        <v>12.0</v>
      </c>
      <c r="J44" s="10" t="s">
        <v>34</v>
      </c>
    </row>
    <row r="45" ht="15.75" customHeight="1">
      <c r="A45" s="4">
        <v>46079.0</v>
      </c>
      <c r="B45" s="5" t="s">
        <v>31</v>
      </c>
      <c r="C45" s="6">
        <v>0.04791666666666667</v>
      </c>
      <c r="D45" s="7" t="s">
        <v>19</v>
      </c>
      <c r="E45" s="7" t="s">
        <v>37</v>
      </c>
      <c r="G45" s="8">
        <v>1.0</v>
      </c>
      <c r="H45" s="8">
        <v>25.0</v>
      </c>
      <c r="I45" s="8">
        <v>2.4</v>
      </c>
      <c r="J45" s="10" t="s">
        <v>34</v>
      </c>
    </row>
    <row r="46" ht="15.75" customHeight="1">
      <c r="I46" s="11" t="str">
        <f>IF(AND(G46&lt;&gt;"",H46&lt;&gt;"",H46&gt;0),G46/(H46/60),"")</f>
        <v/>
      </c>
    </row>
    <row r="47" ht="15.75" customHeight="1">
      <c r="A47" s="4">
        <v>46079.0</v>
      </c>
      <c r="B47" s="5" t="s">
        <v>39</v>
      </c>
      <c r="C47" s="6">
        <v>0.3548611111111111</v>
      </c>
      <c r="D47" s="7" t="s">
        <v>21</v>
      </c>
      <c r="E47" s="5" t="s">
        <v>23</v>
      </c>
      <c r="G47" s="8">
        <v>11.0</v>
      </c>
      <c r="H47" s="8">
        <v>20.0</v>
      </c>
      <c r="I47" s="8">
        <v>33.0</v>
      </c>
      <c r="J47" s="9"/>
    </row>
    <row r="48" ht="15.75" customHeight="1">
      <c r="A48" s="4">
        <v>46079.0</v>
      </c>
      <c r="B48" s="5" t="s">
        <v>39</v>
      </c>
      <c r="C48" s="6">
        <v>0.3715277777777778</v>
      </c>
      <c r="D48" s="7" t="s">
        <v>19</v>
      </c>
      <c r="E48" s="7" t="s">
        <v>20</v>
      </c>
      <c r="G48" s="8">
        <v>1.0</v>
      </c>
      <c r="H48" s="8">
        <v>22.0</v>
      </c>
      <c r="I48" s="8">
        <v>2.7</v>
      </c>
      <c r="J48" s="9"/>
    </row>
    <row r="49" ht="15.75" customHeight="1">
      <c r="A49" s="4">
        <v>46079.0</v>
      </c>
      <c r="B49" s="5" t="s">
        <v>39</v>
      </c>
      <c r="C49" s="6">
        <v>0.44583333333333336</v>
      </c>
      <c r="D49" s="7" t="s">
        <v>27</v>
      </c>
      <c r="E49" s="7" t="s">
        <v>28</v>
      </c>
      <c r="G49" s="8">
        <v>11.0</v>
      </c>
      <c r="H49" s="8">
        <v>30.0</v>
      </c>
      <c r="I49" s="8">
        <v>22.0</v>
      </c>
      <c r="J49" s="9"/>
    </row>
    <row r="50" ht="15.75" customHeight="1">
      <c r="A50" s="4">
        <v>46079.0</v>
      </c>
      <c r="B50" s="5" t="s">
        <v>39</v>
      </c>
      <c r="C50" s="6">
        <v>0.4895833333333333</v>
      </c>
      <c r="D50" s="7" t="s">
        <v>27</v>
      </c>
      <c r="E50" s="7" t="s">
        <v>28</v>
      </c>
      <c r="G50" s="8">
        <v>3.0</v>
      </c>
      <c r="H50" s="8">
        <v>15.0</v>
      </c>
      <c r="I50" s="8">
        <v>12.0</v>
      </c>
      <c r="J50" s="9"/>
    </row>
    <row r="51" ht="15.75" customHeight="1">
      <c r="A51" s="4">
        <v>46079.0</v>
      </c>
      <c r="B51" s="5" t="s">
        <v>39</v>
      </c>
      <c r="C51" s="6">
        <v>0.5055555555555555</v>
      </c>
      <c r="D51" s="7" t="s">
        <v>27</v>
      </c>
      <c r="E51" s="7" t="s">
        <v>28</v>
      </c>
      <c r="G51" s="8">
        <v>7.0</v>
      </c>
      <c r="H51" s="8">
        <v>12.0</v>
      </c>
      <c r="I51" s="8">
        <v>35.0</v>
      </c>
      <c r="J51" s="9"/>
    </row>
    <row r="52" ht="15.75" customHeight="1">
      <c r="A52" s="4">
        <v>46079.0</v>
      </c>
      <c r="B52" s="5" t="s">
        <v>39</v>
      </c>
      <c r="C52" s="6">
        <v>0.5069444444444444</v>
      </c>
      <c r="D52" s="7" t="s">
        <v>32</v>
      </c>
      <c r="E52" s="5" t="s">
        <v>40</v>
      </c>
      <c r="G52" s="8">
        <v>1.0</v>
      </c>
      <c r="H52" s="8">
        <v>20.0</v>
      </c>
      <c r="I52" s="8">
        <v>3.0</v>
      </c>
      <c r="J52" s="9"/>
    </row>
    <row r="53" ht="15.75" customHeight="1">
      <c r="A53" s="4">
        <v>46079.0</v>
      </c>
      <c r="B53" s="5" t="s">
        <v>39</v>
      </c>
      <c r="C53" s="6">
        <v>0.6555555555555556</v>
      </c>
      <c r="D53" s="7" t="s">
        <v>32</v>
      </c>
      <c r="E53" s="5" t="s">
        <v>40</v>
      </c>
      <c r="G53" s="8">
        <v>3.0</v>
      </c>
      <c r="H53" s="8">
        <v>160.0</v>
      </c>
      <c r="I53" s="8">
        <v>1.1</v>
      </c>
      <c r="J53" s="9"/>
    </row>
    <row r="54" ht="15.75" customHeight="1">
      <c r="A54" s="4">
        <v>46079.0</v>
      </c>
      <c r="B54" s="5" t="s">
        <v>39</v>
      </c>
      <c r="C54" s="6">
        <v>0.7118055555555556</v>
      </c>
      <c r="D54" s="7" t="s">
        <v>29</v>
      </c>
      <c r="E54" s="5" t="s">
        <v>15</v>
      </c>
      <c r="G54" s="8">
        <v>14.0</v>
      </c>
      <c r="H54" s="8">
        <v>40.0</v>
      </c>
      <c r="I54" s="8">
        <v>21.0</v>
      </c>
      <c r="J54" s="9"/>
    </row>
    <row r="55" ht="15.75" customHeight="1">
      <c r="A55" s="4">
        <v>46079.0</v>
      </c>
      <c r="B55" s="5" t="s">
        <v>39</v>
      </c>
      <c r="C55" s="6">
        <v>0.7611111111111111</v>
      </c>
      <c r="D55" s="7" t="s">
        <v>29</v>
      </c>
      <c r="E55" s="5" t="s">
        <v>15</v>
      </c>
      <c r="G55" s="8">
        <v>7.0</v>
      </c>
      <c r="H55" s="8">
        <v>30.0</v>
      </c>
      <c r="I55" s="8">
        <v>14.0</v>
      </c>
      <c r="J55" s="9"/>
    </row>
    <row r="56" ht="15.75" customHeight="1">
      <c r="A56" s="4">
        <v>46079.0</v>
      </c>
      <c r="B56" s="5" t="s">
        <v>39</v>
      </c>
      <c r="C56" s="6">
        <v>0.8</v>
      </c>
      <c r="D56" s="7" t="s">
        <v>21</v>
      </c>
      <c r="E56" s="5" t="s">
        <v>23</v>
      </c>
      <c r="G56" s="8">
        <v>21.0</v>
      </c>
      <c r="H56" s="8">
        <v>36.0</v>
      </c>
      <c r="I56" s="8">
        <v>35.0</v>
      </c>
      <c r="J56" s="9"/>
    </row>
    <row r="57" ht="15.75" customHeight="1">
      <c r="A57" s="4">
        <v>46079.0</v>
      </c>
      <c r="B57" s="5" t="s">
        <v>39</v>
      </c>
      <c r="C57" s="6">
        <v>0.9222222222222223</v>
      </c>
      <c r="D57" s="7" t="s">
        <v>21</v>
      </c>
      <c r="E57" s="5" t="s">
        <v>14</v>
      </c>
      <c r="G57" s="8">
        <v>49.0</v>
      </c>
      <c r="H57" s="8">
        <v>42.0</v>
      </c>
      <c r="I57" s="8">
        <v>70.0</v>
      </c>
      <c r="J57" s="9"/>
    </row>
    <row r="58" ht="15.75" customHeight="1">
      <c r="A58" s="4">
        <v>46079.0</v>
      </c>
      <c r="B58" s="5" t="s">
        <v>39</v>
      </c>
      <c r="C58" s="6">
        <v>0.9708333333333333</v>
      </c>
      <c r="D58" s="7" t="s">
        <v>19</v>
      </c>
      <c r="E58" s="7" t="s">
        <v>20</v>
      </c>
      <c r="G58" s="8">
        <v>2.0</v>
      </c>
      <c r="H58" s="8">
        <v>32.0</v>
      </c>
      <c r="I58" s="8">
        <v>3.8</v>
      </c>
      <c r="J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</row>
    <row r="60" ht="15.75" customHeight="1">
      <c r="A60" s="4">
        <v>46080.0</v>
      </c>
      <c r="B60" s="5" t="s">
        <v>41</v>
      </c>
      <c r="C60" s="5" t="s">
        <v>42</v>
      </c>
      <c r="D60" s="5" t="s">
        <v>21</v>
      </c>
      <c r="E60" s="5" t="s">
        <v>14</v>
      </c>
      <c r="F60" s="9"/>
      <c r="G60" s="5">
        <v>8.0</v>
      </c>
      <c r="H60" s="5">
        <v>16.0</v>
      </c>
      <c r="I60" s="5">
        <v>30.0</v>
      </c>
      <c r="J60" s="9"/>
    </row>
    <row r="61" ht="15.75" customHeight="1">
      <c r="A61" s="4">
        <v>46081.0</v>
      </c>
      <c r="B61" s="5" t="s">
        <v>43</v>
      </c>
      <c r="C61" s="6">
        <v>0.5784722222222223</v>
      </c>
      <c r="D61" s="7" t="s">
        <v>19</v>
      </c>
      <c r="E61" s="7" t="s">
        <v>20</v>
      </c>
      <c r="G61" s="8">
        <v>1.0</v>
      </c>
      <c r="H61" s="8">
        <v>24.0</v>
      </c>
      <c r="I61" s="8">
        <v>2.5</v>
      </c>
      <c r="J61" s="9"/>
    </row>
    <row r="62" ht="15.75" customHeight="1">
      <c r="A62" s="4">
        <v>46081.0</v>
      </c>
      <c r="B62" s="5" t="s">
        <v>43</v>
      </c>
      <c r="C62" s="6">
        <v>0.6201388888888889</v>
      </c>
      <c r="D62" s="7" t="s">
        <v>19</v>
      </c>
      <c r="E62" s="7" t="s">
        <v>20</v>
      </c>
      <c r="G62" s="8">
        <v>2.0</v>
      </c>
      <c r="H62" s="8">
        <v>22.0</v>
      </c>
      <c r="I62" s="8">
        <v>5.5</v>
      </c>
      <c r="J62" s="9"/>
    </row>
    <row r="63" ht="15.75" customHeight="1">
      <c r="A63" s="4">
        <v>46081.0</v>
      </c>
      <c r="B63" s="5" t="s">
        <v>43</v>
      </c>
      <c r="C63" s="6">
        <v>0.6715277777777777</v>
      </c>
      <c r="D63" s="7" t="s">
        <v>19</v>
      </c>
      <c r="E63" s="7" t="s">
        <v>20</v>
      </c>
      <c r="G63" s="8">
        <v>2.0</v>
      </c>
      <c r="H63" s="8">
        <v>30.0</v>
      </c>
      <c r="I63" s="8">
        <v>4.0</v>
      </c>
      <c r="J63" s="9"/>
    </row>
    <row r="64" ht="15.75" customHeight="1">
      <c r="A64" s="4">
        <v>46081.0</v>
      </c>
      <c r="B64" s="5" t="s">
        <v>43</v>
      </c>
      <c r="C64" s="6">
        <v>0.7361111111111112</v>
      </c>
      <c r="D64" s="7" t="s">
        <v>21</v>
      </c>
      <c r="E64" s="5" t="s">
        <v>14</v>
      </c>
      <c r="G64" s="8">
        <v>24.0</v>
      </c>
      <c r="H64" s="8">
        <v>30.0</v>
      </c>
      <c r="I64" s="8">
        <v>48.0</v>
      </c>
    </row>
    <row r="65" ht="15.75" customHeight="1">
      <c r="A65" s="4">
        <v>46081.0</v>
      </c>
      <c r="B65" s="5" t="s">
        <v>43</v>
      </c>
      <c r="C65" s="6">
        <v>0.98125</v>
      </c>
      <c r="D65" s="7" t="s">
        <v>21</v>
      </c>
      <c r="E65" s="5" t="s">
        <v>14</v>
      </c>
      <c r="G65" s="8">
        <v>54.0</v>
      </c>
      <c r="H65" s="8">
        <v>30.0</v>
      </c>
      <c r="I65" s="8">
        <v>108.0</v>
      </c>
    </row>
    <row r="66" ht="15.75" customHeight="1">
      <c r="A66" s="12">
        <v>46082.0</v>
      </c>
      <c r="B66" s="5" t="s">
        <v>43</v>
      </c>
      <c r="C66" s="6">
        <v>0.03888888888888889</v>
      </c>
      <c r="D66" s="7" t="s">
        <v>21</v>
      </c>
      <c r="E66" s="5" t="s">
        <v>14</v>
      </c>
      <c r="G66" s="8">
        <v>8.0</v>
      </c>
      <c r="H66" s="8">
        <v>12.0</v>
      </c>
      <c r="I66" s="8">
        <v>40.0</v>
      </c>
    </row>
    <row r="67" ht="15.75" customHeight="1">
      <c r="A67" s="12">
        <v>46082.0</v>
      </c>
      <c r="B67" s="5" t="s">
        <v>43</v>
      </c>
      <c r="C67" s="6">
        <v>0.0763888888888889</v>
      </c>
      <c r="D67" s="7" t="s">
        <v>21</v>
      </c>
      <c r="E67" s="5" t="s">
        <v>14</v>
      </c>
      <c r="G67" s="8">
        <v>27.0</v>
      </c>
      <c r="H67" s="8">
        <v>25.0</v>
      </c>
      <c r="I67" s="8">
        <v>64.8</v>
      </c>
    </row>
    <row r="68" ht="15.75" customHeight="1">
      <c r="I68" s="11" t="str">
        <f t="shared" ref="I68:I200" si="1">IF(AND(G68&lt;&gt;"",H68&lt;&gt;"",H68&gt;0),G68/(H68/60),"")</f>
        <v/>
      </c>
    </row>
    <row r="69" ht="15.75" customHeight="1">
      <c r="A69" s="12"/>
      <c r="I69" s="11" t="str">
        <f t="shared" si="1"/>
        <v/>
      </c>
    </row>
    <row r="70" ht="15.75" customHeight="1">
      <c r="I70" s="11" t="str">
        <f t="shared" si="1"/>
        <v/>
      </c>
    </row>
    <row r="71" ht="15.75" customHeight="1">
      <c r="I71" s="11" t="str">
        <f t="shared" si="1"/>
        <v/>
      </c>
    </row>
    <row r="72" ht="15.75" customHeight="1">
      <c r="I72" s="11" t="str">
        <f t="shared" si="1"/>
        <v/>
      </c>
    </row>
    <row r="73" ht="15.75" customHeight="1">
      <c r="I73" s="11" t="str">
        <f t="shared" si="1"/>
        <v/>
      </c>
    </row>
    <row r="74" ht="15.75" customHeight="1">
      <c r="I74" s="11" t="str">
        <f t="shared" si="1"/>
        <v/>
      </c>
    </row>
    <row r="75" ht="15.75" customHeight="1">
      <c r="I75" s="11" t="str">
        <f t="shared" si="1"/>
        <v/>
      </c>
    </row>
    <row r="76" ht="15.75" customHeight="1">
      <c r="I76" s="11" t="str">
        <f t="shared" si="1"/>
        <v/>
      </c>
    </row>
    <row r="77" ht="15.75" customHeight="1">
      <c r="I77" s="11" t="str">
        <f t="shared" si="1"/>
        <v/>
      </c>
    </row>
    <row r="78" ht="15.75" customHeight="1">
      <c r="I78" s="11" t="str">
        <f t="shared" si="1"/>
        <v/>
      </c>
    </row>
    <row r="79" ht="15.75" customHeight="1">
      <c r="I79" s="11" t="str">
        <f t="shared" si="1"/>
        <v/>
      </c>
    </row>
    <row r="80" ht="15.75" customHeight="1">
      <c r="I80" s="11" t="str">
        <f t="shared" si="1"/>
        <v/>
      </c>
    </row>
    <row r="81" ht="15.75" customHeight="1">
      <c r="I81" s="11" t="str">
        <f t="shared" si="1"/>
        <v/>
      </c>
    </row>
    <row r="82" ht="15.75" customHeight="1">
      <c r="I82" s="11" t="str">
        <f t="shared" si="1"/>
        <v/>
      </c>
    </row>
    <row r="83" ht="15.75" customHeight="1">
      <c r="I83" s="11" t="str">
        <f t="shared" si="1"/>
        <v/>
      </c>
    </row>
    <row r="84" ht="15.75" customHeight="1">
      <c r="I84" s="11" t="str">
        <f t="shared" si="1"/>
        <v/>
      </c>
    </row>
    <row r="85" ht="15.75" customHeight="1">
      <c r="I85" s="11" t="str">
        <f t="shared" si="1"/>
        <v/>
      </c>
    </row>
    <row r="86" ht="15.75" customHeight="1">
      <c r="I86" s="11" t="str">
        <f t="shared" si="1"/>
        <v/>
      </c>
    </row>
    <row r="87" ht="15.75" customHeight="1">
      <c r="I87" s="11" t="str">
        <f t="shared" si="1"/>
        <v/>
      </c>
    </row>
    <row r="88" ht="15.75" customHeight="1">
      <c r="I88" s="11" t="str">
        <f t="shared" si="1"/>
        <v/>
      </c>
    </row>
    <row r="89" ht="15.75" customHeight="1">
      <c r="I89" s="11" t="str">
        <f t="shared" si="1"/>
        <v/>
      </c>
    </row>
    <row r="90" ht="15.75" customHeight="1">
      <c r="I90" s="11" t="str">
        <f t="shared" si="1"/>
        <v/>
      </c>
    </row>
    <row r="91" ht="15.75" customHeight="1">
      <c r="I91" s="11" t="str">
        <f t="shared" si="1"/>
        <v/>
      </c>
    </row>
    <row r="92" ht="15.75" customHeight="1">
      <c r="I92" s="11" t="str">
        <f t="shared" si="1"/>
        <v/>
      </c>
    </row>
    <row r="93" ht="15.75" customHeight="1">
      <c r="I93" s="11" t="str">
        <f t="shared" si="1"/>
        <v/>
      </c>
    </row>
    <row r="94" ht="15.75" customHeight="1">
      <c r="I94" s="11" t="str">
        <f t="shared" si="1"/>
        <v/>
      </c>
    </row>
    <row r="95" ht="15.75" customHeight="1">
      <c r="I95" s="11" t="str">
        <f t="shared" si="1"/>
        <v/>
      </c>
    </row>
    <row r="96" ht="15.75" customHeight="1">
      <c r="I96" s="11" t="str">
        <f t="shared" si="1"/>
        <v/>
      </c>
    </row>
    <row r="97" ht="15.75" customHeight="1">
      <c r="I97" s="11" t="str">
        <f t="shared" si="1"/>
        <v/>
      </c>
    </row>
    <row r="98" ht="15.75" customHeight="1">
      <c r="I98" s="11" t="str">
        <f t="shared" si="1"/>
        <v/>
      </c>
    </row>
    <row r="99" ht="15.75" customHeight="1">
      <c r="I99" s="11" t="str">
        <f t="shared" si="1"/>
        <v/>
      </c>
    </row>
    <row r="100" ht="15.75" customHeight="1">
      <c r="I100" s="11" t="str">
        <f t="shared" si="1"/>
        <v/>
      </c>
    </row>
    <row r="101" ht="15.75" customHeight="1">
      <c r="I101" s="11" t="str">
        <f t="shared" si="1"/>
        <v/>
      </c>
    </row>
    <row r="102" ht="15.75" customHeight="1">
      <c r="I102" s="11" t="str">
        <f t="shared" si="1"/>
        <v/>
      </c>
    </row>
    <row r="103" ht="15.75" customHeight="1">
      <c r="I103" s="11" t="str">
        <f t="shared" si="1"/>
        <v/>
      </c>
    </row>
    <row r="104" ht="15.75" customHeight="1">
      <c r="I104" s="11" t="str">
        <f t="shared" si="1"/>
        <v/>
      </c>
    </row>
    <row r="105" ht="15.75" customHeight="1">
      <c r="I105" s="11" t="str">
        <f t="shared" si="1"/>
        <v/>
      </c>
    </row>
    <row r="106" ht="15.75" customHeight="1">
      <c r="I106" s="11" t="str">
        <f t="shared" si="1"/>
        <v/>
      </c>
    </row>
    <row r="107" ht="15.75" customHeight="1">
      <c r="I107" s="11" t="str">
        <f t="shared" si="1"/>
        <v/>
      </c>
    </row>
    <row r="108" ht="15.75" customHeight="1">
      <c r="I108" s="11" t="str">
        <f t="shared" si="1"/>
        <v/>
      </c>
    </row>
    <row r="109" ht="15.75" customHeight="1">
      <c r="I109" s="11" t="str">
        <f t="shared" si="1"/>
        <v/>
      </c>
    </row>
    <row r="110" ht="15.75" customHeight="1">
      <c r="I110" s="11" t="str">
        <f t="shared" si="1"/>
        <v/>
      </c>
    </row>
    <row r="111" ht="15.75" customHeight="1">
      <c r="I111" s="11" t="str">
        <f t="shared" si="1"/>
        <v/>
      </c>
    </row>
    <row r="112" ht="15.75" customHeight="1">
      <c r="I112" s="11" t="str">
        <f t="shared" si="1"/>
        <v/>
      </c>
    </row>
    <row r="113" ht="15.75" customHeight="1">
      <c r="I113" s="11" t="str">
        <f t="shared" si="1"/>
        <v/>
      </c>
    </row>
    <row r="114" ht="15.75" customHeight="1">
      <c r="I114" s="11" t="str">
        <f t="shared" si="1"/>
        <v/>
      </c>
    </row>
    <row r="115" ht="15.75" customHeight="1">
      <c r="I115" s="11" t="str">
        <f t="shared" si="1"/>
        <v/>
      </c>
    </row>
    <row r="116" ht="15.75" customHeight="1">
      <c r="I116" s="11" t="str">
        <f t="shared" si="1"/>
        <v/>
      </c>
    </row>
    <row r="117" ht="15.75" customHeight="1">
      <c r="I117" s="11" t="str">
        <f t="shared" si="1"/>
        <v/>
      </c>
    </row>
    <row r="118" ht="15.75" customHeight="1">
      <c r="I118" s="11" t="str">
        <f t="shared" si="1"/>
        <v/>
      </c>
    </row>
    <row r="119" ht="15.75" customHeight="1">
      <c r="I119" s="11" t="str">
        <f t="shared" si="1"/>
        <v/>
      </c>
    </row>
    <row r="120" ht="15.75" customHeight="1">
      <c r="I120" s="11" t="str">
        <f t="shared" si="1"/>
        <v/>
      </c>
    </row>
    <row r="121" ht="15.75" customHeight="1">
      <c r="I121" s="11" t="str">
        <f t="shared" si="1"/>
        <v/>
      </c>
    </row>
    <row r="122" ht="15.75" customHeight="1">
      <c r="I122" s="11" t="str">
        <f t="shared" si="1"/>
        <v/>
      </c>
    </row>
    <row r="123" ht="15.75" customHeight="1">
      <c r="I123" s="11" t="str">
        <f t="shared" si="1"/>
        <v/>
      </c>
    </row>
    <row r="124" ht="15.75" customHeight="1">
      <c r="I124" s="11" t="str">
        <f t="shared" si="1"/>
        <v/>
      </c>
    </row>
    <row r="125" ht="15.75" customHeight="1">
      <c r="I125" s="11" t="str">
        <f t="shared" si="1"/>
        <v/>
      </c>
    </row>
    <row r="126" ht="15.75" customHeight="1">
      <c r="I126" s="11" t="str">
        <f t="shared" si="1"/>
        <v/>
      </c>
    </row>
    <row r="127" ht="15.75" customHeight="1">
      <c r="I127" s="11" t="str">
        <f t="shared" si="1"/>
        <v/>
      </c>
    </row>
    <row r="128" ht="15.75" customHeight="1">
      <c r="I128" s="11" t="str">
        <f t="shared" si="1"/>
        <v/>
      </c>
    </row>
    <row r="129" ht="15.75" customHeight="1">
      <c r="I129" s="11" t="str">
        <f t="shared" si="1"/>
        <v/>
      </c>
    </row>
    <row r="130" ht="15.75" customHeight="1">
      <c r="I130" s="11" t="str">
        <f t="shared" si="1"/>
        <v/>
      </c>
    </row>
    <row r="131" ht="15.75" customHeight="1">
      <c r="I131" s="11" t="str">
        <f t="shared" si="1"/>
        <v/>
      </c>
    </row>
    <row r="132" ht="15.75" customHeight="1">
      <c r="I132" s="11" t="str">
        <f t="shared" si="1"/>
        <v/>
      </c>
    </row>
    <row r="133" ht="15.75" customHeight="1">
      <c r="I133" s="11" t="str">
        <f t="shared" si="1"/>
        <v/>
      </c>
    </row>
    <row r="134" ht="15.75" customHeight="1">
      <c r="I134" s="11" t="str">
        <f t="shared" si="1"/>
        <v/>
      </c>
    </row>
    <row r="135" ht="15.75" customHeight="1">
      <c r="I135" s="11" t="str">
        <f t="shared" si="1"/>
        <v/>
      </c>
    </row>
    <row r="136" ht="15.75" customHeight="1">
      <c r="I136" s="11" t="str">
        <f t="shared" si="1"/>
        <v/>
      </c>
    </row>
    <row r="137" ht="15.75" customHeight="1">
      <c r="I137" s="11" t="str">
        <f t="shared" si="1"/>
        <v/>
      </c>
    </row>
    <row r="138" ht="15.75" customHeight="1">
      <c r="I138" s="11" t="str">
        <f t="shared" si="1"/>
        <v/>
      </c>
    </row>
    <row r="139" ht="15.75" customHeight="1">
      <c r="I139" s="11" t="str">
        <f t="shared" si="1"/>
        <v/>
      </c>
    </row>
    <row r="140" ht="15.75" customHeight="1">
      <c r="I140" s="11" t="str">
        <f t="shared" si="1"/>
        <v/>
      </c>
    </row>
    <row r="141" ht="15.75" customHeight="1">
      <c r="I141" s="11" t="str">
        <f t="shared" si="1"/>
        <v/>
      </c>
    </row>
    <row r="142" ht="15.75" customHeight="1">
      <c r="I142" s="11" t="str">
        <f t="shared" si="1"/>
        <v/>
      </c>
    </row>
    <row r="143" ht="15.75" customHeight="1">
      <c r="I143" s="11" t="str">
        <f t="shared" si="1"/>
        <v/>
      </c>
    </row>
    <row r="144" ht="15.75" customHeight="1">
      <c r="I144" s="11" t="str">
        <f t="shared" si="1"/>
        <v/>
      </c>
    </row>
    <row r="145" ht="15.75" customHeight="1">
      <c r="I145" s="11" t="str">
        <f t="shared" si="1"/>
        <v/>
      </c>
    </row>
    <row r="146" ht="15.75" customHeight="1">
      <c r="I146" s="11" t="str">
        <f t="shared" si="1"/>
        <v/>
      </c>
    </row>
    <row r="147" ht="15.75" customHeight="1">
      <c r="I147" s="11" t="str">
        <f t="shared" si="1"/>
        <v/>
      </c>
    </row>
    <row r="148" ht="15.75" customHeight="1">
      <c r="I148" s="11" t="str">
        <f t="shared" si="1"/>
        <v/>
      </c>
    </row>
    <row r="149" ht="15.75" customHeight="1">
      <c r="I149" s="11" t="str">
        <f t="shared" si="1"/>
        <v/>
      </c>
    </row>
    <row r="150" ht="15.75" customHeight="1">
      <c r="I150" s="11" t="str">
        <f t="shared" si="1"/>
        <v/>
      </c>
    </row>
    <row r="151" ht="15.75" customHeight="1">
      <c r="I151" s="11" t="str">
        <f t="shared" si="1"/>
        <v/>
      </c>
    </row>
    <row r="152" ht="15.75" customHeight="1">
      <c r="I152" s="11" t="str">
        <f t="shared" si="1"/>
        <v/>
      </c>
    </row>
    <row r="153" ht="15.75" customHeight="1">
      <c r="I153" s="11" t="str">
        <f t="shared" si="1"/>
        <v/>
      </c>
    </row>
    <row r="154" ht="15.75" customHeight="1">
      <c r="I154" s="11" t="str">
        <f t="shared" si="1"/>
        <v/>
      </c>
    </row>
    <row r="155" ht="15.75" customHeight="1">
      <c r="I155" s="11" t="str">
        <f t="shared" si="1"/>
        <v/>
      </c>
    </row>
    <row r="156" ht="15.75" customHeight="1">
      <c r="I156" s="11" t="str">
        <f t="shared" si="1"/>
        <v/>
      </c>
    </row>
    <row r="157" ht="15.75" customHeight="1">
      <c r="I157" s="11" t="str">
        <f t="shared" si="1"/>
        <v/>
      </c>
    </row>
    <row r="158" ht="15.75" customHeight="1">
      <c r="I158" s="11" t="str">
        <f t="shared" si="1"/>
        <v/>
      </c>
    </row>
    <row r="159" ht="15.75" customHeight="1">
      <c r="I159" s="11" t="str">
        <f t="shared" si="1"/>
        <v/>
      </c>
    </row>
    <row r="160" ht="15.75" customHeight="1">
      <c r="I160" s="11" t="str">
        <f t="shared" si="1"/>
        <v/>
      </c>
    </row>
    <row r="161" ht="15.75" customHeight="1">
      <c r="I161" s="11" t="str">
        <f t="shared" si="1"/>
        <v/>
      </c>
    </row>
    <row r="162" ht="15.75" customHeight="1">
      <c r="I162" s="11" t="str">
        <f t="shared" si="1"/>
        <v/>
      </c>
    </row>
    <row r="163" ht="15.75" customHeight="1">
      <c r="I163" s="11" t="str">
        <f t="shared" si="1"/>
        <v/>
      </c>
    </row>
    <row r="164" ht="15.75" customHeight="1">
      <c r="I164" s="11" t="str">
        <f t="shared" si="1"/>
        <v/>
      </c>
    </row>
    <row r="165" ht="15.75" customHeight="1">
      <c r="I165" s="11" t="str">
        <f t="shared" si="1"/>
        <v/>
      </c>
    </row>
    <row r="166" ht="15.75" customHeight="1">
      <c r="I166" s="11" t="str">
        <f t="shared" si="1"/>
        <v/>
      </c>
    </row>
    <row r="167" ht="15.75" customHeight="1">
      <c r="I167" s="11" t="str">
        <f t="shared" si="1"/>
        <v/>
      </c>
    </row>
    <row r="168" ht="15.75" customHeight="1">
      <c r="I168" s="11" t="str">
        <f t="shared" si="1"/>
        <v/>
      </c>
    </row>
    <row r="169" ht="15.75" customHeight="1">
      <c r="I169" s="11" t="str">
        <f t="shared" si="1"/>
        <v/>
      </c>
    </row>
    <row r="170" ht="15.75" customHeight="1">
      <c r="I170" s="11" t="str">
        <f t="shared" si="1"/>
        <v/>
      </c>
    </row>
    <row r="171" ht="15.75" customHeight="1">
      <c r="I171" s="11" t="str">
        <f t="shared" si="1"/>
        <v/>
      </c>
    </row>
    <row r="172" ht="15.75" customHeight="1">
      <c r="I172" s="11" t="str">
        <f t="shared" si="1"/>
        <v/>
      </c>
    </row>
    <row r="173" ht="15.75" customHeight="1">
      <c r="I173" s="11" t="str">
        <f t="shared" si="1"/>
        <v/>
      </c>
    </row>
    <row r="174" ht="15.75" customHeight="1">
      <c r="I174" s="11" t="str">
        <f t="shared" si="1"/>
        <v/>
      </c>
    </row>
    <row r="175" ht="15.75" customHeight="1">
      <c r="I175" s="11" t="str">
        <f t="shared" si="1"/>
        <v/>
      </c>
    </row>
    <row r="176" ht="15.75" customHeight="1">
      <c r="I176" s="11" t="str">
        <f t="shared" si="1"/>
        <v/>
      </c>
    </row>
    <row r="177" ht="15.75" customHeight="1">
      <c r="I177" s="11" t="str">
        <f t="shared" si="1"/>
        <v/>
      </c>
    </row>
    <row r="178" ht="15.75" customHeight="1">
      <c r="I178" s="11" t="str">
        <f t="shared" si="1"/>
        <v/>
      </c>
    </row>
    <row r="179" ht="15.75" customHeight="1">
      <c r="I179" s="11" t="str">
        <f t="shared" si="1"/>
        <v/>
      </c>
    </row>
    <row r="180" ht="15.75" customHeight="1">
      <c r="I180" s="11" t="str">
        <f t="shared" si="1"/>
        <v/>
      </c>
    </row>
    <row r="181" ht="15.75" customHeight="1">
      <c r="I181" s="11" t="str">
        <f t="shared" si="1"/>
        <v/>
      </c>
    </row>
    <row r="182" ht="15.75" customHeight="1">
      <c r="I182" s="11" t="str">
        <f t="shared" si="1"/>
        <v/>
      </c>
    </row>
    <row r="183" ht="15.75" customHeight="1">
      <c r="I183" s="11" t="str">
        <f t="shared" si="1"/>
        <v/>
      </c>
    </row>
    <row r="184" ht="15.75" customHeight="1">
      <c r="I184" s="11" t="str">
        <f t="shared" si="1"/>
        <v/>
      </c>
    </row>
    <row r="185" ht="15.75" customHeight="1">
      <c r="I185" s="11" t="str">
        <f t="shared" si="1"/>
        <v/>
      </c>
    </row>
    <row r="186" ht="15.75" customHeight="1">
      <c r="I186" s="11" t="str">
        <f t="shared" si="1"/>
        <v/>
      </c>
    </row>
    <row r="187" ht="15.75" customHeight="1">
      <c r="I187" s="11" t="str">
        <f t="shared" si="1"/>
        <v/>
      </c>
    </row>
    <row r="188" ht="15.75" customHeight="1">
      <c r="I188" s="11" t="str">
        <f t="shared" si="1"/>
        <v/>
      </c>
    </row>
    <row r="189" ht="15.75" customHeight="1">
      <c r="I189" s="11" t="str">
        <f t="shared" si="1"/>
        <v/>
      </c>
    </row>
    <row r="190" ht="15.75" customHeight="1">
      <c r="I190" s="11" t="str">
        <f t="shared" si="1"/>
        <v/>
      </c>
    </row>
    <row r="191" ht="15.75" customHeight="1">
      <c r="I191" s="11" t="str">
        <f t="shared" si="1"/>
        <v/>
      </c>
    </row>
    <row r="192" ht="15.75" customHeight="1">
      <c r="I192" s="11" t="str">
        <f t="shared" si="1"/>
        <v/>
      </c>
    </row>
    <row r="193" ht="15.75" customHeight="1">
      <c r="I193" s="11" t="str">
        <f t="shared" si="1"/>
        <v/>
      </c>
    </row>
    <row r="194" ht="15.75" customHeight="1">
      <c r="I194" s="11" t="str">
        <f t="shared" si="1"/>
        <v/>
      </c>
    </row>
    <row r="195" ht="15.75" customHeight="1">
      <c r="I195" s="11" t="str">
        <f t="shared" si="1"/>
        <v/>
      </c>
    </row>
    <row r="196" ht="15.75" customHeight="1">
      <c r="I196" s="11" t="str">
        <f t="shared" si="1"/>
        <v/>
      </c>
    </row>
    <row r="197" ht="15.75" customHeight="1">
      <c r="I197" s="11" t="str">
        <f t="shared" si="1"/>
        <v/>
      </c>
    </row>
    <row r="198" ht="15.75" customHeight="1">
      <c r="I198" s="11" t="str">
        <f t="shared" si="1"/>
        <v/>
      </c>
    </row>
    <row r="199" ht="15.75" customHeight="1">
      <c r="I199" s="11" t="str">
        <f t="shared" si="1"/>
        <v/>
      </c>
    </row>
    <row r="200" ht="15.75" customHeight="1">
      <c r="I200" s="11" t="str">
        <f t="shared" si="1"/>
        <v/>
      </c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235"/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0.0"/>
    <col customWidth="1" min="3" max="3" width="10.0"/>
    <col customWidth="1" min="4" max="4" width="12.0"/>
    <col customWidth="1" min="5" max="5" width="10.0"/>
    <col customWidth="1" min="6" max="6" width="18.0"/>
    <col customWidth="1" min="7" max="26" width="8.71"/>
  </cols>
  <sheetData>
    <row r="1">
      <c r="A1" s="13" t="s">
        <v>3</v>
      </c>
      <c r="B1" s="13" t="s">
        <v>4</v>
      </c>
      <c r="C1" s="13" t="s">
        <v>44</v>
      </c>
      <c r="D1" s="13" t="s">
        <v>45</v>
      </c>
      <c r="E1" s="13" t="s">
        <v>46</v>
      </c>
      <c r="F1" s="13" t="s">
        <v>9</v>
      </c>
    </row>
    <row r="2">
      <c r="A2" s="14" t="s">
        <v>47</v>
      </c>
      <c r="B2" s="15" t="s">
        <v>48</v>
      </c>
      <c r="C2" s="14" t="s">
        <v>21</v>
      </c>
      <c r="D2" s="14" t="s">
        <v>49</v>
      </c>
      <c r="E2" s="15" t="s">
        <v>50</v>
      </c>
      <c r="F2" s="15" t="s">
        <v>51</v>
      </c>
    </row>
    <row r="3">
      <c r="A3" s="14" t="s">
        <v>52</v>
      </c>
      <c r="B3" s="15" t="s">
        <v>53</v>
      </c>
      <c r="C3" s="14" t="s">
        <v>54</v>
      </c>
      <c r="D3" s="14" t="s">
        <v>17</v>
      </c>
      <c r="E3" s="15" t="s">
        <v>55</v>
      </c>
      <c r="F3" s="15" t="s">
        <v>56</v>
      </c>
    </row>
    <row r="4">
      <c r="A4" s="14" t="s">
        <v>57</v>
      </c>
      <c r="B4" s="15" t="s">
        <v>58</v>
      </c>
      <c r="C4" s="14" t="s">
        <v>59</v>
      </c>
      <c r="D4" s="14" t="s">
        <v>60</v>
      </c>
      <c r="E4" s="15" t="s">
        <v>61</v>
      </c>
      <c r="F4" s="15" t="s">
        <v>62</v>
      </c>
    </row>
    <row r="5">
      <c r="A5" s="14" t="s">
        <v>63</v>
      </c>
      <c r="B5" s="15" t="s">
        <v>64</v>
      </c>
      <c r="C5" s="14" t="s">
        <v>65</v>
      </c>
      <c r="D5" s="14" t="s">
        <v>66</v>
      </c>
      <c r="E5" s="15" t="s">
        <v>67</v>
      </c>
      <c r="F5" s="15" t="s">
        <v>68</v>
      </c>
    </row>
    <row r="6">
      <c r="A6" s="14" t="s">
        <v>69</v>
      </c>
      <c r="B6" s="14" t="s">
        <v>70</v>
      </c>
      <c r="C6" s="14" t="s">
        <v>19</v>
      </c>
      <c r="D6" s="14" t="s">
        <v>71</v>
      </c>
      <c r="E6" s="15" t="s">
        <v>72</v>
      </c>
      <c r="F6" s="14" t="s">
        <v>73</v>
      </c>
    </row>
    <row r="7">
      <c r="A7" s="14" t="s">
        <v>69</v>
      </c>
      <c r="B7" s="14" t="s">
        <v>74</v>
      </c>
      <c r="C7" s="14" t="s">
        <v>75</v>
      </c>
      <c r="D7" s="14" t="s">
        <v>76</v>
      </c>
      <c r="E7" s="15" t="s">
        <v>77</v>
      </c>
      <c r="F7" s="14" t="s">
        <v>78</v>
      </c>
    </row>
    <row r="8">
      <c r="A8" s="14" t="s">
        <v>69</v>
      </c>
      <c r="B8" s="14" t="s">
        <v>79</v>
      </c>
      <c r="C8" s="14" t="s">
        <v>80</v>
      </c>
      <c r="D8" s="14" t="s">
        <v>71</v>
      </c>
      <c r="E8" s="15" t="s">
        <v>81</v>
      </c>
      <c r="F8" s="14" t="s">
        <v>82</v>
      </c>
    </row>
    <row r="9">
      <c r="A9" s="14" t="s">
        <v>69</v>
      </c>
      <c r="B9" s="14" t="s">
        <v>83</v>
      </c>
      <c r="C9" s="14" t="s">
        <v>84</v>
      </c>
      <c r="D9" s="14" t="s">
        <v>85</v>
      </c>
      <c r="E9" s="15" t="s">
        <v>86</v>
      </c>
      <c r="F9" s="14" t="s">
        <v>87</v>
      </c>
    </row>
    <row r="10">
      <c r="A10" s="14" t="s">
        <v>88</v>
      </c>
      <c r="B10" s="15" t="s">
        <v>89</v>
      </c>
      <c r="C10" s="14" t="s">
        <v>29</v>
      </c>
      <c r="D10" s="14" t="s">
        <v>90</v>
      </c>
      <c r="E10" s="15" t="s">
        <v>91</v>
      </c>
      <c r="F10" s="14" t="s">
        <v>92</v>
      </c>
    </row>
    <row r="11">
      <c r="A11" s="14" t="s">
        <v>88</v>
      </c>
      <c r="B11" s="15" t="s">
        <v>93</v>
      </c>
      <c r="C11" s="14" t="s">
        <v>94</v>
      </c>
      <c r="D11" s="14" t="s">
        <v>95</v>
      </c>
      <c r="E11" s="15" t="s">
        <v>96</v>
      </c>
      <c r="F11" s="14" t="s">
        <v>97</v>
      </c>
    </row>
    <row r="12">
      <c r="A12" s="14" t="s">
        <v>28</v>
      </c>
      <c r="B12" s="15" t="s">
        <v>98</v>
      </c>
      <c r="C12" s="14" t="s">
        <v>27</v>
      </c>
      <c r="D12" s="14" t="s">
        <v>99</v>
      </c>
      <c r="E12" s="15" t="s">
        <v>100</v>
      </c>
      <c r="F12" s="14" t="s">
        <v>101</v>
      </c>
    </row>
    <row r="13">
      <c r="A13" s="14" t="s">
        <v>36</v>
      </c>
      <c r="B13" s="15" t="s">
        <v>102</v>
      </c>
      <c r="C13" s="14" t="s">
        <v>35</v>
      </c>
      <c r="D13" s="14" t="s">
        <v>103</v>
      </c>
      <c r="E13" s="15" t="s">
        <v>104</v>
      </c>
      <c r="F13" s="14" t="s">
        <v>105</v>
      </c>
    </row>
    <row r="14">
      <c r="A14" s="14" t="s">
        <v>106</v>
      </c>
      <c r="B14" s="15" t="s">
        <v>107</v>
      </c>
      <c r="C14" s="14" t="s">
        <v>108</v>
      </c>
      <c r="D14" s="14" t="s">
        <v>109</v>
      </c>
      <c r="E14" s="15" t="s">
        <v>110</v>
      </c>
      <c r="F14" s="14" t="s">
        <v>111</v>
      </c>
    </row>
    <row r="15">
      <c r="A15" s="14" t="s">
        <v>25</v>
      </c>
      <c r="B15" s="15" t="s">
        <v>112</v>
      </c>
      <c r="C15" s="14" t="s">
        <v>24</v>
      </c>
      <c r="D15" s="14" t="s">
        <v>113</v>
      </c>
      <c r="E15" s="15" t="s">
        <v>114</v>
      </c>
      <c r="F15" s="14" t="s">
        <v>115</v>
      </c>
    </row>
    <row r="16">
      <c r="A16" s="15" t="s">
        <v>116</v>
      </c>
      <c r="B16" s="15" t="s">
        <v>117</v>
      </c>
      <c r="C16" s="14" t="s">
        <v>118</v>
      </c>
      <c r="D16" s="14" t="s">
        <v>42</v>
      </c>
      <c r="E16" s="14" t="s">
        <v>42</v>
      </c>
      <c r="F16" s="15" t="s">
        <v>119</v>
      </c>
    </row>
    <row r="17">
      <c r="A17" s="15" t="s">
        <v>116</v>
      </c>
      <c r="B17" s="15" t="s">
        <v>120</v>
      </c>
      <c r="C17" s="14" t="s">
        <v>121</v>
      </c>
      <c r="D17" s="14" t="s">
        <v>42</v>
      </c>
      <c r="E17" s="14" t="s">
        <v>42</v>
      </c>
      <c r="F17" s="15" t="s">
        <v>119</v>
      </c>
    </row>
    <row r="18">
      <c r="A18" s="15" t="s">
        <v>116</v>
      </c>
      <c r="B18" s="15" t="s">
        <v>122</v>
      </c>
      <c r="C18" s="14" t="s">
        <v>123</v>
      </c>
      <c r="D18" s="14" t="s">
        <v>42</v>
      </c>
      <c r="E18" s="14" t="s">
        <v>42</v>
      </c>
      <c r="F18" s="15" t="s">
        <v>124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8F00"/>
    <pageSetUpPr/>
  </sheetPr>
  <sheetViews>
    <sheetView workbookViewId="0"/>
  </sheetViews>
  <sheetFormatPr customHeight="1" defaultColWidth="14.43" defaultRowHeight="15.0"/>
  <cols>
    <col customWidth="1" min="1" max="11" width="14.0"/>
    <col customWidth="1" min="12" max="26" width="8.71"/>
  </cols>
  <sheetData>
    <row r="1">
      <c r="A1" s="16" t="s">
        <v>125</v>
      </c>
    </row>
    <row r="2">
      <c r="A2" s="17" t="s">
        <v>126</v>
      </c>
      <c r="C2" s="17" t="s">
        <v>127</v>
      </c>
    </row>
    <row r="4">
      <c r="A4" s="18" t="s">
        <v>128</v>
      </c>
    </row>
    <row r="5">
      <c r="A5" s="19" t="s">
        <v>3</v>
      </c>
      <c r="B5" s="19" t="s">
        <v>129</v>
      </c>
      <c r="C5" s="19" t="s">
        <v>130</v>
      </c>
      <c r="D5" s="19" t="s">
        <v>131</v>
      </c>
      <c r="E5" s="19" t="s">
        <v>132</v>
      </c>
      <c r="F5" s="19" t="s">
        <v>133</v>
      </c>
      <c r="G5" s="19" t="s">
        <v>134</v>
      </c>
      <c r="H5" s="19" t="s">
        <v>135</v>
      </c>
    </row>
    <row r="6">
      <c r="A6" s="14" t="s">
        <v>136</v>
      </c>
      <c r="B6" s="14"/>
      <c r="C6" s="14"/>
      <c r="D6" s="14"/>
      <c r="E6" s="14">
        <f t="shared" ref="E6:E12" si="1">B6+C6-D6</f>
        <v>0</v>
      </c>
      <c r="F6" s="20" t="str">
        <f t="shared" ref="F6:F12" si="2">IF((B6+C6)&gt;0,D6/(B6+C6),"")</f>
        <v/>
      </c>
      <c r="G6" s="21">
        <f t="shared" ref="G6:G12" si="3">IF($B$16&gt;0,D6/$B$16,"")</f>
        <v>0</v>
      </c>
      <c r="H6" s="21" t="str">
        <f t="shared" ref="H6:H12" si="4">IF(AND(G6&lt;&gt;"",G6&gt;0),E6/G6,"")</f>
        <v/>
      </c>
    </row>
    <row r="7">
      <c r="A7" s="14" t="s">
        <v>69</v>
      </c>
      <c r="B7" s="14"/>
      <c r="C7" s="14"/>
      <c r="D7" s="14"/>
      <c r="E7" s="14">
        <f t="shared" si="1"/>
        <v>0</v>
      </c>
      <c r="F7" s="20" t="str">
        <f t="shared" si="2"/>
        <v/>
      </c>
      <c r="G7" s="21">
        <f t="shared" si="3"/>
        <v>0</v>
      </c>
      <c r="H7" s="21" t="str">
        <f t="shared" si="4"/>
        <v/>
      </c>
    </row>
    <row r="8">
      <c r="A8" s="14" t="s">
        <v>88</v>
      </c>
      <c r="B8" s="14"/>
      <c r="C8" s="14"/>
      <c r="D8" s="14"/>
      <c r="E8" s="14">
        <f t="shared" si="1"/>
        <v>0</v>
      </c>
      <c r="F8" s="20" t="str">
        <f t="shared" si="2"/>
        <v/>
      </c>
      <c r="G8" s="21">
        <f t="shared" si="3"/>
        <v>0</v>
      </c>
      <c r="H8" s="21" t="str">
        <f t="shared" si="4"/>
        <v/>
      </c>
    </row>
    <row r="9">
      <c r="A9" s="14" t="s">
        <v>28</v>
      </c>
      <c r="B9" s="14"/>
      <c r="C9" s="14"/>
      <c r="D9" s="14"/>
      <c r="E9" s="14">
        <f t="shared" si="1"/>
        <v>0</v>
      </c>
      <c r="F9" s="20" t="str">
        <f t="shared" si="2"/>
        <v/>
      </c>
      <c r="G9" s="21">
        <f t="shared" si="3"/>
        <v>0</v>
      </c>
      <c r="H9" s="21" t="str">
        <f t="shared" si="4"/>
        <v/>
      </c>
    </row>
    <row r="10">
      <c r="A10" s="14" t="s">
        <v>36</v>
      </c>
      <c r="B10" s="14"/>
      <c r="C10" s="14"/>
      <c r="D10" s="14"/>
      <c r="E10" s="14">
        <f t="shared" si="1"/>
        <v>0</v>
      </c>
      <c r="F10" s="20" t="str">
        <f t="shared" si="2"/>
        <v/>
      </c>
      <c r="G10" s="21">
        <f t="shared" si="3"/>
        <v>0</v>
      </c>
      <c r="H10" s="21" t="str">
        <f t="shared" si="4"/>
        <v/>
      </c>
    </row>
    <row r="11">
      <c r="A11" s="14" t="s">
        <v>106</v>
      </c>
      <c r="B11" s="14"/>
      <c r="C11" s="14"/>
      <c r="D11" s="14"/>
      <c r="E11" s="14">
        <f t="shared" si="1"/>
        <v>0</v>
      </c>
      <c r="F11" s="20" t="str">
        <f t="shared" si="2"/>
        <v/>
      </c>
      <c r="G11" s="21">
        <f t="shared" si="3"/>
        <v>0</v>
      </c>
      <c r="H11" s="21" t="str">
        <f t="shared" si="4"/>
        <v/>
      </c>
    </row>
    <row r="12">
      <c r="A12" s="14" t="s">
        <v>25</v>
      </c>
      <c r="B12" s="14"/>
      <c r="C12" s="14"/>
      <c r="D12" s="14"/>
      <c r="E12" s="14">
        <f t="shared" si="1"/>
        <v>0</v>
      </c>
      <c r="F12" s="20" t="str">
        <f t="shared" si="2"/>
        <v/>
      </c>
      <c r="G12" s="21">
        <f t="shared" si="3"/>
        <v>0</v>
      </c>
      <c r="H12" s="21" t="str">
        <f t="shared" si="4"/>
        <v/>
      </c>
    </row>
    <row r="13">
      <c r="A13" s="15" t="s">
        <v>137</v>
      </c>
      <c r="B13" s="14">
        <f t="shared" ref="B13:E13" si="5">SUM(B6:B12)</f>
        <v>0</v>
      </c>
      <c r="C13" s="14">
        <f t="shared" si="5"/>
        <v>0</v>
      </c>
      <c r="D13" s="14">
        <f t="shared" si="5"/>
        <v>0</v>
      </c>
      <c r="E13" s="14">
        <f t="shared" si="5"/>
        <v>0</v>
      </c>
      <c r="F13" s="14"/>
      <c r="G13" s="14"/>
      <c r="H13" s="14"/>
    </row>
    <row r="15">
      <c r="A15" s="22" t="s">
        <v>138</v>
      </c>
    </row>
    <row r="16">
      <c r="A16" s="17" t="s">
        <v>139</v>
      </c>
      <c r="B16" s="11">
        <v>5.0</v>
      </c>
    </row>
    <row r="18">
      <c r="A18" s="18" t="s">
        <v>140</v>
      </c>
    </row>
    <row r="19">
      <c r="A19" s="19" t="s">
        <v>0</v>
      </c>
      <c r="B19" s="19" t="s">
        <v>1</v>
      </c>
      <c r="C19" s="19" t="s">
        <v>141</v>
      </c>
      <c r="D19" s="23" t="s">
        <v>142</v>
      </c>
      <c r="E19" s="23" t="s">
        <v>69</v>
      </c>
      <c r="F19" s="23" t="s">
        <v>88</v>
      </c>
      <c r="G19" s="23" t="s">
        <v>28</v>
      </c>
      <c r="H19" s="19" t="s">
        <v>116</v>
      </c>
      <c r="I19" s="19" t="s">
        <v>143</v>
      </c>
      <c r="J19" s="19" t="s">
        <v>144</v>
      </c>
      <c r="K19" s="19" t="s">
        <v>9</v>
      </c>
    </row>
    <row r="20">
      <c r="A20" s="14"/>
      <c r="B20" s="14"/>
      <c r="C20" s="14"/>
      <c r="D20" s="14"/>
      <c r="E20" s="14"/>
      <c r="F20" s="14"/>
      <c r="G20" s="14"/>
      <c r="H20" s="14"/>
      <c r="I20" s="14">
        <f t="shared" ref="I20:I26" si="6">SUM(D20:H20)</f>
        <v>0</v>
      </c>
      <c r="J20" s="14"/>
      <c r="K20" s="1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14">
        <f t="shared" si="6"/>
        <v>0</v>
      </c>
      <c r="J21" s="14"/>
      <c r="K21" s="1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>
        <f t="shared" si="6"/>
        <v>0</v>
      </c>
      <c r="J22" s="14"/>
      <c r="K22" s="1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14">
        <f t="shared" si="6"/>
        <v>0</v>
      </c>
      <c r="J23" s="14"/>
      <c r="K23" s="1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>
        <f t="shared" si="6"/>
        <v>0</v>
      </c>
      <c r="J24" s="14"/>
      <c r="K24" s="14"/>
    </row>
    <row r="25" ht="15.75" customHeight="1">
      <c r="A25" s="14"/>
      <c r="B25" s="14"/>
      <c r="C25" s="14"/>
      <c r="D25" s="14"/>
      <c r="E25" s="14"/>
      <c r="F25" s="14"/>
      <c r="G25" s="14"/>
      <c r="H25" s="14"/>
      <c r="I25" s="14">
        <f t="shared" si="6"/>
        <v>0</v>
      </c>
      <c r="J25" s="14"/>
      <c r="K25" s="14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>
        <f t="shared" si="6"/>
        <v>0</v>
      </c>
      <c r="J26" s="14"/>
      <c r="K26" s="14"/>
    </row>
    <row r="27" ht="15.75" customHeight="1"/>
    <row r="28" ht="15.75" customHeight="1">
      <c r="A28" s="18" t="s">
        <v>145</v>
      </c>
    </row>
    <row r="29" ht="15.75" customHeight="1">
      <c r="A29" s="19" t="s">
        <v>3</v>
      </c>
      <c r="B29" s="19" t="s">
        <v>146</v>
      </c>
      <c r="C29" s="19" t="s">
        <v>147</v>
      </c>
      <c r="D29" s="19" t="s">
        <v>148</v>
      </c>
      <c r="E29" s="19" t="s">
        <v>149</v>
      </c>
    </row>
    <row r="30" ht="15.75" customHeight="1">
      <c r="A30" s="14"/>
      <c r="B30" s="14"/>
      <c r="C30" s="14"/>
      <c r="D30" s="14"/>
      <c r="E30" s="14"/>
    </row>
    <row r="31" ht="15.75" customHeight="1">
      <c r="A31" s="14"/>
      <c r="B31" s="14"/>
      <c r="C31" s="14"/>
      <c r="D31" s="14"/>
      <c r="E31" s="14"/>
    </row>
    <row r="32" ht="15.75" customHeight="1">
      <c r="A32" s="14"/>
      <c r="B32" s="14"/>
      <c r="C32" s="14"/>
      <c r="D32" s="14"/>
      <c r="E32" s="14"/>
    </row>
    <row r="33" ht="15.75" customHeight="1">
      <c r="A33" s="14"/>
      <c r="B33" s="14"/>
      <c r="C33" s="14"/>
      <c r="D33" s="14"/>
      <c r="E33" s="14"/>
    </row>
    <row r="34" ht="15.75" customHeight="1">
      <c r="A34" s="14"/>
      <c r="B34" s="14"/>
      <c r="C34" s="14"/>
      <c r="D34" s="14"/>
      <c r="E34" s="14"/>
    </row>
    <row r="35" ht="15.75" customHeight="1">
      <c r="A35" s="14"/>
      <c r="B35" s="14"/>
      <c r="C35" s="14"/>
      <c r="D35" s="14"/>
      <c r="E35" s="14"/>
    </row>
    <row r="36" ht="15.75" customHeight="1">
      <c r="A36" s="14"/>
      <c r="B36" s="14"/>
      <c r="C36" s="14"/>
      <c r="D36" s="14"/>
      <c r="E36" s="14"/>
    </row>
    <row r="37" ht="15.75" customHeight="1"/>
    <row r="38" ht="15.75" customHeight="1">
      <c r="A38" s="18" t="s">
        <v>150</v>
      </c>
    </row>
    <row r="39" ht="15.75" customHeight="1">
      <c r="A39" s="19" t="s">
        <v>0</v>
      </c>
      <c r="B39" s="19" t="s">
        <v>151</v>
      </c>
      <c r="C39" s="19" t="s">
        <v>152</v>
      </c>
      <c r="D39" s="19" t="s">
        <v>153</v>
      </c>
    </row>
    <row r="40" ht="15.75" customHeight="1">
      <c r="A40" s="14"/>
      <c r="B40" s="14"/>
      <c r="C40" s="14"/>
      <c r="D40" s="14"/>
    </row>
    <row r="41" ht="15.75" customHeight="1">
      <c r="A41" s="14"/>
      <c r="B41" s="14"/>
      <c r="C41" s="14"/>
      <c r="D41" s="14"/>
    </row>
    <row r="42" ht="15.75" customHeight="1">
      <c r="A42" s="14"/>
      <c r="B42" s="14"/>
      <c r="C42" s="14"/>
      <c r="D42" s="14"/>
    </row>
    <row r="43" ht="15.75" customHeight="1">
      <c r="A43" s="14"/>
      <c r="B43" s="14"/>
      <c r="C43" s="14"/>
      <c r="D43" s="14"/>
    </row>
    <row r="44" ht="15.75" customHeight="1">
      <c r="A44" s="14"/>
      <c r="B44" s="14"/>
      <c r="C44" s="14"/>
      <c r="D44" s="14"/>
    </row>
    <row r="45" ht="15.75" customHeight="1">
      <c r="A45" s="14"/>
      <c r="B45" s="14"/>
      <c r="C45" s="14"/>
      <c r="D45" s="14"/>
    </row>
    <row r="46" ht="15.75" customHeight="1">
      <c r="A46" s="14"/>
      <c r="B46" s="14"/>
      <c r="C46" s="14"/>
      <c r="D46" s="14"/>
    </row>
    <row r="47" ht="15.75" customHeight="1"/>
    <row r="48" ht="15.75" customHeight="1">
      <c r="A48" s="18" t="s">
        <v>154</v>
      </c>
    </row>
    <row r="49" ht="15.75" customHeight="1">
      <c r="A49" s="19" t="s">
        <v>0</v>
      </c>
      <c r="B49" s="19" t="s">
        <v>155</v>
      </c>
      <c r="C49" s="19" t="s">
        <v>156</v>
      </c>
      <c r="D49" s="19" t="s">
        <v>157</v>
      </c>
      <c r="E49" s="19" t="s">
        <v>158</v>
      </c>
      <c r="F49" s="19" t="s">
        <v>122</v>
      </c>
      <c r="G49" s="19" t="s">
        <v>159</v>
      </c>
      <c r="H49" s="19" t="s">
        <v>160</v>
      </c>
    </row>
    <row r="50" ht="15.75" customHeight="1">
      <c r="A50" s="14"/>
      <c r="B50" s="14"/>
      <c r="C50" s="14"/>
      <c r="D50" s="14"/>
      <c r="E50" s="14"/>
      <c r="F50" s="14"/>
      <c r="G50" s="14"/>
      <c r="H50" s="14">
        <f t="shared" ref="H50:H56" si="7">SUM(B50:G50)</f>
        <v>0</v>
      </c>
    </row>
    <row r="51" ht="15.75" customHeight="1">
      <c r="A51" s="14"/>
      <c r="B51" s="14"/>
      <c r="C51" s="14"/>
      <c r="D51" s="14"/>
      <c r="E51" s="14"/>
      <c r="F51" s="14"/>
      <c r="G51" s="14"/>
      <c r="H51" s="14">
        <f t="shared" si="7"/>
        <v>0</v>
      </c>
    </row>
    <row r="52" ht="15.75" customHeight="1">
      <c r="A52" s="14"/>
      <c r="B52" s="14"/>
      <c r="C52" s="14"/>
      <c r="D52" s="14"/>
      <c r="E52" s="14"/>
      <c r="F52" s="14"/>
      <c r="G52" s="14"/>
      <c r="H52" s="14">
        <f t="shared" si="7"/>
        <v>0</v>
      </c>
    </row>
    <row r="53" ht="15.75" customHeight="1">
      <c r="A53" s="14"/>
      <c r="B53" s="14"/>
      <c r="C53" s="14"/>
      <c r="D53" s="14"/>
      <c r="E53" s="14"/>
      <c r="F53" s="14"/>
      <c r="G53" s="14"/>
      <c r="H53" s="14">
        <f t="shared" si="7"/>
        <v>0</v>
      </c>
    </row>
    <row r="54" ht="15.75" customHeight="1">
      <c r="A54" s="14"/>
      <c r="B54" s="14"/>
      <c r="C54" s="14"/>
      <c r="D54" s="14"/>
      <c r="E54" s="14"/>
      <c r="F54" s="14"/>
      <c r="G54" s="14"/>
      <c r="H54" s="14">
        <f t="shared" si="7"/>
        <v>0</v>
      </c>
    </row>
    <row r="55" ht="15.75" customHeight="1">
      <c r="A55" s="14"/>
      <c r="B55" s="14"/>
      <c r="C55" s="14"/>
      <c r="D55" s="14"/>
      <c r="E55" s="14"/>
      <c r="F55" s="14"/>
      <c r="G55" s="14"/>
      <c r="H55" s="14">
        <f t="shared" si="7"/>
        <v>0</v>
      </c>
    </row>
    <row r="56" ht="15.75" customHeight="1">
      <c r="A56" s="14"/>
      <c r="B56" s="14"/>
      <c r="C56" s="14"/>
      <c r="D56" s="14"/>
      <c r="E56" s="14"/>
      <c r="F56" s="14"/>
      <c r="G56" s="14"/>
      <c r="H56" s="14">
        <f t="shared" si="7"/>
        <v>0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20.0"/>
    <col customWidth="1" min="3" max="3" width="40.0"/>
    <col customWidth="1" min="4" max="4" width="10.0"/>
    <col customWidth="1" min="5" max="26" width="8.71"/>
  </cols>
  <sheetData>
    <row r="1">
      <c r="A1" s="24" t="s">
        <v>161</v>
      </c>
    </row>
    <row r="3">
      <c r="A3" s="25" t="s">
        <v>162</v>
      </c>
      <c r="B3" s="25" t="s">
        <v>163</v>
      </c>
      <c r="C3" s="25" t="s">
        <v>164</v>
      </c>
      <c r="D3" s="25" t="s">
        <v>165</v>
      </c>
    </row>
    <row r="4">
      <c r="A4" s="15" t="s">
        <v>3</v>
      </c>
      <c r="B4" s="15" t="s">
        <v>166</v>
      </c>
      <c r="C4" s="14" t="s">
        <v>167</v>
      </c>
      <c r="D4" s="15" t="s">
        <v>168</v>
      </c>
    </row>
    <row r="5">
      <c r="A5" s="15" t="s">
        <v>4</v>
      </c>
      <c r="B5" s="15" t="s">
        <v>169</v>
      </c>
      <c r="C5" s="15" t="s">
        <v>170</v>
      </c>
      <c r="D5" s="15" t="s">
        <v>171</v>
      </c>
    </row>
    <row r="6">
      <c r="A6" s="15" t="s">
        <v>5</v>
      </c>
      <c r="B6" s="15" t="s">
        <v>172</v>
      </c>
      <c r="C6" s="15" t="s">
        <v>173</v>
      </c>
      <c r="D6" s="15" t="s">
        <v>174</v>
      </c>
    </row>
    <row r="7">
      <c r="A7" s="15" t="s">
        <v>6</v>
      </c>
      <c r="B7" s="15" t="s">
        <v>175</v>
      </c>
      <c r="C7" s="15" t="s">
        <v>176</v>
      </c>
      <c r="D7" s="15" t="s">
        <v>168</v>
      </c>
    </row>
    <row r="8">
      <c r="A8" s="15" t="s">
        <v>177</v>
      </c>
      <c r="B8" s="15" t="s">
        <v>175</v>
      </c>
      <c r="C8" s="15" t="s">
        <v>176</v>
      </c>
      <c r="D8" s="15" t="s">
        <v>168</v>
      </c>
    </row>
    <row r="9">
      <c r="A9" s="15" t="s">
        <v>9</v>
      </c>
      <c r="B9" s="15" t="s">
        <v>178</v>
      </c>
      <c r="C9" s="15" t="s">
        <v>179</v>
      </c>
      <c r="D9" s="15" t="s">
        <v>171</v>
      </c>
    </row>
    <row r="11">
      <c r="A11" s="22" t="s">
        <v>180</v>
      </c>
    </row>
    <row r="12">
      <c r="A12" s="26" t="s">
        <v>181</v>
      </c>
    </row>
    <row r="13">
      <c r="A13" s="26" t="s">
        <v>182</v>
      </c>
    </row>
    <row r="14">
      <c r="A14" s="26" t="s">
        <v>183</v>
      </c>
    </row>
    <row r="15">
      <c r="A15" s="26" t="s">
        <v>184</v>
      </c>
    </row>
    <row r="16">
      <c r="A16" s="26" t="s">
        <v>185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D1"/>
    <mergeCell ref="A12:D12"/>
    <mergeCell ref="A13:D13"/>
    <mergeCell ref="A14:D14"/>
    <mergeCell ref="A15:D15"/>
    <mergeCell ref="A16:D16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0"/>
    <col customWidth="1" min="3" max="3" width="30.0"/>
    <col customWidth="1" min="4" max="26" width="8.71"/>
  </cols>
  <sheetData>
    <row r="1">
      <c r="A1" s="16" t="s">
        <v>186</v>
      </c>
    </row>
    <row r="2">
      <c r="A2" s="27" t="s">
        <v>187</v>
      </c>
      <c r="B2" s="27" t="s">
        <v>188</v>
      </c>
      <c r="C2" s="27" t="s">
        <v>9</v>
      </c>
    </row>
    <row r="3">
      <c r="A3" s="15" t="s">
        <v>189</v>
      </c>
      <c r="B3" s="14" t="s">
        <v>190</v>
      </c>
      <c r="C3" s="14" t="s">
        <v>191</v>
      </c>
    </row>
    <row r="4">
      <c r="A4" s="15" t="s">
        <v>192</v>
      </c>
      <c r="B4" s="15" t="s">
        <v>193</v>
      </c>
      <c r="C4" s="15" t="s">
        <v>194</v>
      </c>
    </row>
    <row r="5">
      <c r="A5" s="15" t="s">
        <v>34</v>
      </c>
      <c r="B5" s="15" t="s">
        <v>195</v>
      </c>
      <c r="C5" s="15" t="s">
        <v>196</v>
      </c>
    </row>
    <row r="6">
      <c r="A6" s="14" t="s">
        <v>197</v>
      </c>
      <c r="B6" s="15" t="s">
        <v>198</v>
      </c>
      <c r="C6" s="15" t="s">
        <v>199</v>
      </c>
    </row>
    <row r="7">
      <c r="A7" s="15" t="s">
        <v>200</v>
      </c>
      <c r="B7" s="15" t="s">
        <v>201</v>
      </c>
      <c r="C7" s="14"/>
    </row>
    <row r="8">
      <c r="A8" s="15" t="s">
        <v>122</v>
      </c>
      <c r="B8" s="15" t="s">
        <v>202</v>
      </c>
      <c r="C8" s="15" t="s">
        <v>203</v>
      </c>
    </row>
    <row r="9">
      <c r="A9" s="15" t="s">
        <v>204</v>
      </c>
      <c r="B9" s="15" t="s">
        <v>205</v>
      </c>
      <c r="C9" s="15" t="s">
        <v>206</v>
      </c>
    </row>
    <row r="10">
      <c r="A10" s="15" t="s">
        <v>207</v>
      </c>
      <c r="B10" s="15" t="s">
        <v>208</v>
      </c>
      <c r="C10" s="15" t="s">
        <v>209</v>
      </c>
    </row>
    <row r="11">
      <c r="A11" s="15" t="s">
        <v>210</v>
      </c>
      <c r="B11" s="15" t="s">
        <v>211</v>
      </c>
      <c r="C11" s="15" t="s">
        <v>212</v>
      </c>
    </row>
    <row r="12">
      <c r="A12" s="15" t="s">
        <v>213</v>
      </c>
      <c r="B12" s="14" t="s">
        <v>214</v>
      </c>
      <c r="C12" s="15" t="s">
        <v>215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2026-02-21T12:12:07Z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